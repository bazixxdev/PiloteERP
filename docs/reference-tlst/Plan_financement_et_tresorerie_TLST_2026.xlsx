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f0890b79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trésorerie" sheetId="1" r:id="Ree3afe1a1eb24f38"/>
    <x:sheet xmlns:r="http://schemas.openxmlformats.org/officeDocument/2006/relationships" name="Hypothèses" sheetId="2" r:id="Rc56d81a906564b12"/>
    <x:sheet xmlns:r="http://schemas.openxmlformats.org/officeDocument/2006/relationships" name="Réconciliation" sheetId="3" r:id="Radb69b611ee547a8"/>
    <x:sheet xmlns:r="http://schemas.openxmlformats.org/officeDocument/2006/relationships" name="Détail opérations" sheetId="4" r:id="Re266e1afe6d24e8a"/>
    <x:sheet xmlns:r="http://schemas.openxmlformats.org/officeDocument/2006/relationships" name="Plan financement 2026" sheetId="5" r:id="R7c9712a48b7f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dd/mm/yyyy"/>
    <x:numFmt numFmtId="202" formatCode="0.0%"/>
  </x:numFmts>
  <x:fonts count="1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i/>
      <x:sz val="9"/>
      <x:name val="Carlito"/>
    </x:font>
    <x:font>
      <x:sz val="11"/>
      <x:name val="Carlito"/>
    </x:font>
    <x:font>
      <x:b/>
      <x:sz val="15"/>
      <x:color rgb="FFFFFFFF"/>
      <x:name val="Carlito"/>
    </x:font>
    <x:font>
      <x:b/>
      <x:sz val="14"/>
      <x:name val="Carlito"/>
    </x:font>
    <x:font>
      <x:b/>
      <x:sz val="14"/>
      <x:color rgb="FF9C0006"/>
      <x:name val="Carlito"/>
    </x:font>
    <x:font>
      <x:b/>
      <x:sz val="11"/>
      <x:color rgb="FF008000"/>
      <x:name val="Carlito"/>
    </x:font>
    <x:font>
      <x:b/>
      <x:sz val="14"/>
      <x:color rgb="FF008000"/>
      <x:name val="Carlito"/>
    </x:font>
    <x:font>
      <x:b/>
      <x:sz val="14"/>
      <x:color rgb="FF000000"/>
      <x:name val="Carlito"/>
    </x:font>
    <x:font>
      <x:i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3F6F9"/>
      </x:patternFill>
    </x:fill>
  </x:fills>
  <x:borders count="4">
    <x:border/>
    <x:border/>
    <x:border>
      <x:top style="thin">
        <x:color rgb="FF808080"/>
      </x:top>
    </x:border>
    <x:border>
      <x:top style="thin">
        <x:color rgb="FF808080"/>
      </x:top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2" borderId="0" xfId="0" applyNumberFormat="1" applyFont="1" applyFill="1" applyBorder="1"/>
    <x:xf numFmtId="200" fontId="4" fillId="5" borderId="0" xfId="0" applyNumberFormat="1" applyFont="1" applyFill="1" applyBorder="1"/>
    <x:xf numFmtId="200" fontId="4" fillId="4" borderId="3" xfId="0" applyNumberFormat="1" applyFont="1" applyFill="1" applyBorder="1"/>
    <x:xf numFmtId="200" fontId="0" fillId="0" borderId="1" xfId="0" applyNumberFormat="1" applyFont="1" applyFill="1" applyBorder="1"/>
    <x:xf numFmtId="200" fontId="3" fillId="2" borderId="1" xfId="0" applyNumberFormat="1" applyFont="1" applyFill="1" applyBorder="1"/>
    <x:xf numFmtId="200" fontId="4" fillId="5" borderId="1" xfId="0" applyNumberFormat="1" applyFont="1" applyFill="1" applyBorder="1"/>
    <x:xf numFmtId="200" fontId="5" fillId="0" borderId="0" xfId="0" applyNumberFormat="1" applyFont="1" applyFill="1" applyBorder="1"/>
    <x:xf numFmtId="200" fontId="6" fillId="4" borderId="2" xfId="0" applyNumberFormat="1" applyFont="1" applyFill="1" applyBorder="1"/>
    <x:xf numFmtId="200" fontId="6" fillId="2" borderId="0" xfId="0" applyNumberFormat="1" applyFont="1" applyFill="1" applyBorder="1"/>
    <x:xf numFmtId="200" fontId="5" fillId="0" borderId="1" xfId="0" applyNumberFormat="1" applyFont="1" applyFill="1" applyBorder="1"/>
    <x:xf numFmtId="200" fontId="6" fillId="4" borderId="3" xfId="0" applyNumberFormat="1" applyFont="1" applyFill="1" applyBorder="1"/>
    <x:xf numFmtId="200" fontId="6" fillId="2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0" fontId="8" fillId="4" borderId="2" xfId="0" applyNumberFormat="1" applyFont="1" applyFill="1" applyBorder="1"/>
    <x:xf numFmtId="200" fontId="9" fillId="0" borderId="0" xfId="0" applyNumberFormat="1" applyFont="1" applyFill="1" applyBorder="1"/>
    <x:xf numFmtId="200" fontId="8" fillId="2" borderId="0" xfId="0" applyNumberFormat="1" applyFont="1" applyFill="1" applyBorder="1"/>
    <x:xf numFmtId="200" fontId="8" fillId="4" borderId="3" xfId="0" applyNumberFormat="1" applyFont="1" applyFill="1" applyBorder="1"/>
    <x:xf numFmtId="200" fontId="9" fillId="0" borderId="1" xfId="0" applyNumberFormat="1" applyFont="1" applyFill="1" applyBorder="1"/>
    <x:xf numFmtId="200" fontId="8" fillId="2" borderId="1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left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200" fontId="13" fillId="11" borderId="0" xfId="0" applyNumberFormat="1" applyFont="1" applyFill="1" applyBorder="1" applyAlignment="1">
      <x:alignment horizontal="center"/>
    </x:xf>
    <x:xf numFmtId="200" fontId="13" fillId="12" borderId="0" xfId="0" applyNumberFormat="1" applyFont="1" applyFill="1" applyBorder="1" applyAlignment="1">
      <x:alignment horizontal="center"/>
    </x:xf>
    <x:xf numFmtId="200" fontId="14" fillId="13" borderId="0" xfId="0" applyNumberFormat="1" applyFont="1" applyFill="1" applyBorder="1" applyAlignment="1">
      <x:alignment horizontal="center"/>
    </x:xf>
    <x:xf numFmtId="200" fontId="4" fillId="10" borderId="2" xfId="0" applyNumberFormat="1" applyFont="1" applyFill="1" applyBorder="1"/>
    <x:xf numFmtId="202" fontId="0" fillId="0" borderId="0" xfId="0" applyNumberFormat="1" applyFont="1" applyFill="1" applyBorder="1"/>
    <x:xf numFmtId="202" fontId="4" fillId="10" borderId="2" xfId="0" applyNumberFormat="1" applyFont="1" applyFill="1" applyBorder="1"/>
    <x:xf numFmtId="202" fontId="7" fillId="0" borderId="0" xfId="0" applyNumberFormat="1" applyFont="1" applyFill="1" applyBorder="1"/>
    <x:xf numFmtId="200" fontId="15" fillId="10" borderId="2" xfId="0" applyNumberFormat="1" applyFont="1" applyFill="1" applyBorder="1"/>
    <x:xf numFmtId="202" fontId="15" fillId="10" borderId="2" xfId="0" applyNumberFormat="1" applyFont="1" applyFill="1" applyBorder="1"/>
    <x:xf numFmtId="200" fontId="16" fillId="11" borderId="0" xfId="0" applyNumberFormat="1" applyFont="1" applyFill="1" applyBorder="1" applyAlignment="1">
      <x:alignment horizontal="center"/>
    </x:xf>
    <x:xf numFmtId="200" fontId="16" fillId="12" borderId="0" xfId="0" applyNumberFormat="1" applyFont="1" applyFill="1" applyBorder="1" applyAlignment="1">
      <x:alignment horizontal="center"/>
    </x:xf>
    <x:xf numFmtId="200" fontId="16" fillId="13" borderId="0" xfId="0" applyNumberFormat="1" applyFont="1" applyFill="1" applyBorder="1" applyAlignment="1">
      <x:alignment horizontal="center"/>
    </x:xf>
    <x:xf numFmtId="200" fontId="17" fillId="11" borderId="0" xfId="0" applyNumberFormat="1" applyFont="1" applyFill="1" applyBorder="1" applyAlignment="1">
      <x:alignment horizontal="center"/>
    </x:xf>
    <x:xf numFmtId="200" fontId="17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0" xfId="0" applyNumberFormat="1" applyFont="1" applyFill="1" applyBorder="1" applyAlignment="1">
      <x:alignment wrapText="1"/>
    </x:xf>
    <x:xf numFmtId="0" fontId="18" fillId="14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wrapText="1"/>
    </x:xf>
    <x:xf numFmtId="200" fontId="15" fillId="10" borderId="2" xfId="0" applyNumberFormat="1" applyFont="1" applyFill="1" applyBorder="1" applyAlignment="1">
      <x:alignment wrapText="1"/>
    </x:xf>
    <x:xf numFmtId="202" fontId="15" fillId="10" borderId="2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1b529c60e43ec" /><Relationship Type="http://schemas.openxmlformats.org/officeDocument/2006/relationships/theme" Target="/xl/theme/theme1.xml" Id="Rdfaf9fd86ac64302" /><Relationship Type="http://schemas.openxmlformats.org/officeDocument/2006/relationships/sharedStrings" Target="/xl/sharedStrings.xml" Id="Rf398b1a53bb34b63" /><Relationship Type="http://schemas.openxmlformats.org/officeDocument/2006/relationships/worksheet" Target="/xl/worksheets/sheet1.xml" Id="Ree3afe1a1eb24f38" /><Relationship Type="http://schemas.openxmlformats.org/officeDocument/2006/relationships/worksheet" Target="/xl/worksheets/sheet2.xml" Id="Rc56d81a906564b12" /><Relationship Type="http://schemas.openxmlformats.org/officeDocument/2006/relationships/worksheet" Target="/xl/worksheets/sheet3.xml" Id="Radb69b611ee547a8" /><Relationship Type="http://schemas.openxmlformats.org/officeDocument/2006/relationships/worksheet" Target="/xl/worksheets/sheet4.xml" Id="Re266e1afe6d24e8a" /><Relationship Type="http://schemas.openxmlformats.org/officeDocument/2006/relationships/worksheet" Target="/xl/worksheets/sheet5.xml" Id="R7c9712a48b7f44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d08807c99e40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d9e563f643948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Évolution de la trésorerie consolidée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trésorerie'!$C$4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trésorerie'!$D$4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trésorerie'!$E$4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trésorerie'!$F$4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trésorerie'!$G$4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Series 6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trésorerie'!$H$4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Series 7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trésorerie'!$I$4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Series 8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trésorerie'!$J$4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8"/>
          <c:order val="8"/>
          <c:tx>
            <c:v>Series 9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trésorerie'!$K$4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9"/>
          <c:order val="9"/>
          <c:tx>
            <c:v>Series 10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trésorerie'!$L$4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0"/>
          <c:order val="10"/>
          <c:tx>
            <c:v>Series 11</c:v>
          </c:tx>
          <c:cat>
            <c:strRef>
              <c:f>'Plan de trésorerie'!$B$4</c:f>
              <c:strCache>
                <c:ptCount val="0"/>
              </c:strCache>
            </c:strRef>
          </c:cat>
          <c:val>
            <c:numRef>
              <c:f>'Plan de trésorerie'!$M$4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1"/>
          <c:order val="11"/>
          <c:tx>
            <c:v>Trésorerie de fin de mois</c:v>
          </c:tx>
          <c:cat>
            <c:strRef>
              <c:f>'Plan de trésorerie'!$B$4:$M$4</c:f>
              <c:strCache>
                <c:ptCount val="0"/>
              </c:strCache>
            </c:strRef>
          </c:cat>
          <c:val>
            <c:numRef>
              <c:f>'Plan de trésorerie'!$B$41:$M$41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Recettes et dépenses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Montant (€)</c:v>
          </c:tx>
          <c:cat>
            <c:strRef>
              <c:f>'Plan financement 2026'!$G$28:$G$29</c:f>
              <c:strCache>
                <c:ptCount val="0"/>
              </c:strCache>
            </c:strRef>
          </c:cat>
          <c:val>
            <c:numRef>
              <c:f>'Plan financement 2026'!$H$28:$H$29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48</xdr:row>
      <xdr:rowOff>0</xdr:rowOff>
    </xdr:from>
    <xdr:to>
      <xdr:col>13</xdr:col>
      <xdr:colOff>0</xdr:colOff>
      <xdr:row>66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d08807c99e40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9e563f6439489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sVerifiees" displayName="OperationsVerifiees" ref="A3:K294" headerRowCount="1">
  <x:tableColumns count="11">
    <x:tableColumn id="1" name="Date"/>
    <x:tableColumn id="2" name="Mois"/>
    <x:tableColumn id="3" name="Compte"/>
    <x:tableColumn id="4" name="Type"/>
    <x:tableColumn id="5" name="Libellé"/>
    <x:tableColumn id="6" name="Interne ?"/>
    <x:tableColumn id="7" name="Nature"/>
    <x:tableColumn id="8" name="Catégorie"/>
    <x:tableColumn id="9" name="Encaissement (€)"/>
    <x:tableColumn id="10" name="Décaissement (€)"/>
    <x:tableColumn id="11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c9d451205140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00ce14171d7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ea83ef0a23f4382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7" customHeight="1">
      <x:c r="A1" s="5" t="str">
        <x:v>PLAN DE TRÉSORERIE DÉTAILLÉ ET VÉRIFIÉ 2026 – TIERS-LIEU DU SUD TOURAINE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2" t="str">
        <x:v>Consolidation Crédit Agricole + Pennylane – virements internes neutralisés – historique réel janvier à juin, prévision juillet à décembre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17" t="str">
        <x:v>Rubrique</x:v>
      </x:c>
      <x:c r="B4" s="17" t="str">
        <x:v>Janvier 2026</x:v>
      </x:c>
      <x:c r="C4" s="17" t="str">
        <x:v>Février 2026</x:v>
      </x:c>
      <x:c r="D4" s="17" t="str">
        <x:v>Mars 2026</x:v>
      </x:c>
      <x:c r="E4" s="17" t="str">
        <x:v>Avril 2026</x:v>
      </x:c>
      <x:c r="F4" s="17" t="str">
        <x:v>Mai 2026</x:v>
      </x:c>
      <x:c r="G4" s="17" t="str">
        <x:v>Juin 2026</x:v>
      </x:c>
      <x:c r="H4" s="17" t="str">
        <x:v>Juillet 2026</x:v>
      </x:c>
      <x:c r="I4" s="17" t="str">
        <x:v>Août 2026</x:v>
      </x:c>
      <x:c r="J4" s="17" t="str">
        <x:v>Septembre 2026</x:v>
      </x:c>
      <x:c r="K4" s="17" t="str">
        <x:v>Octobre 2026</x:v>
      </x:c>
      <x:c r="L4" s="17" t="str">
        <x:v>Novembre 2026</x:v>
      </x:c>
      <x:c r="M4" s="17" t="str">
        <x:v>Décembre 2026</x:v>
      </x:c>
    </x:row>
    <x:row r="6">
      <x:c r="A6" s="22" t="str">
        <x:v>SOLDE DE TRÉSORERIE EN DÉBUT DE MOIS</x:v>
      </x:c>
      <x:c r="B6" s="34" t="n">
        <x:v>112859.27</x:v>
      </x:c>
      <x:c r="C6" s="34" t="n">
        <x:f>B41</x:f>
        <x:v>77406.02</x:v>
      </x:c>
      <x:c r="D6" s="34" t="n">
        <x:f>C41</x:f>
        <x:v>68554.78</x:v>
      </x:c>
      <x:c r="E6" s="34" t="n">
        <x:f>D41</x:f>
        <x:v>58241.62</x:v>
      </x:c>
      <x:c r="F6" s="34" t="n">
        <x:f>E41</x:f>
        <x:v>35869.88</x:v>
      </x:c>
      <x:c r="G6" s="34" t="n">
        <x:f>F41</x:f>
        <x:v>23734.66</x:v>
      </x:c>
      <x:c r="H6" s="34" t="n">
        <x:f>G41</x:f>
        <x:v>1736.94</x:v>
      </x:c>
      <x:c r="I6" s="34" t="n">
        <x:f>H41</x:f>
        <x:v>-19185.15</x:v>
      </x:c>
      <x:c r="J6" s="34" t="n">
        <x:f>I41</x:f>
        <x:v>5892.76</x:v>
      </x:c>
      <x:c r="K6" s="34" t="n">
        <x:f>J41</x:f>
        <x:v>-29.33</x:v>
      </x:c>
      <x:c r="L6" s="34" t="n">
        <x:f>K41</x:f>
        <x:v>-1951.42</x:v>
      </x:c>
      <x:c r="M6" s="34" t="n">
        <x:f>L41</x:f>
        <x:v>23126.49</x:v>
      </x:c>
    </x:row>
    <x:row r="7"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16" t="str">
        <x:v>ENCAISSEMENTS</x:v>
      </x:c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</x:row>
    <x:row r="9">
      <x:c r="A9" t="str">
        <x:v>Prestations, ventes et produits d'activité</x:v>
      </x:c>
      <x:c r="B9" s="42" t="n">
        <x:v>641.74</x:v>
      </x:c>
      <x:c r="C9" s="42" t="n">
        <x:v>0</x:v>
      </x:c>
      <x:c r="D9" s="42" t="n">
        <x:v>210</x:v>
      </x:c>
      <x:c r="E9" s="42" t="n">
        <x:v>0</x:v>
      </x:c>
      <x:c r="F9" s="42" t="n">
        <x:v>25</x:v>
      </x:c>
      <x:c r="G9" s="42" t="n">
        <x:v>40</x:v>
      </x:c>
      <x:c r="H9" s="35" t="n">
        <x:v>0</x:v>
      </x:c>
      <x:c r="I9" s="35" t="n">
        <x:v>0</x:v>
      </x:c>
      <x:c r="J9" s="35" t="n">
        <x:v>0</x:v>
      </x:c>
      <x:c r="K9" s="35" t="n">
        <x:v>0</x:v>
      </x:c>
      <x:c r="L9" s="35" t="n">
        <x:v>0</x:v>
      </x:c>
      <x:c r="M9" s="35" t="n">
        <x:v>0</x:v>
      </x:c>
    </x:row>
    <x:row r="10">
      <x:c r="A10" t="str">
        <x:v>Subventions et financements reçus</x:v>
      </x:c>
      <x:c r="B10" s="42" t="n">
        <x:v>0</x:v>
      </x:c>
      <x:c r="C10" s="42" t="n">
        <x:v>0</x:v>
      </x:c>
      <x:c r="D10" s="42" t="n">
        <x:v>6816.41</x:v>
      </x:c>
      <x:c r="E10" s="42" t="n">
        <x:v>847.5</x:v>
      </x:c>
      <x:c r="F10" s="42" t="n">
        <x:v>0</x:v>
      </x:c>
      <x:c r="G10" s="42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</x:row>
    <x:row r="11">
      <x:c r="A11" t="str">
        <x:v>Remboursements et avoirs</x:v>
      </x:c>
      <x:c r="B11" s="42" t="n">
        <x:v>0</x:v>
      </x:c>
      <x:c r="C11" s="42" t="n">
        <x:v>1051.74</x:v>
      </x:c>
      <x:c r="D11" s="42" t="n">
        <x:v>1527.46</x:v>
      </x:c>
      <x:c r="E11" s="42" t="n">
        <x:v>28.79</x:v>
      </x:c>
      <x:c r="F11" s="42" t="n">
        <x:v>220.14</x:v>
      </x:c>
      <x:c r="G11" s="42" t="n">
        <x:v>0</x:v>
      </x:c>
      <x:c r="H11" s="35" t="n">
        <x:v>0</x:v>
      </x:c>
      <x:c r="I11" s="35" t="n">
        <x:v>0</x:v>
      </x:c>
      <x:c r="J11" s="35" t="n">
        <x:v>0</x:v>
      </x:c>
      <x:c r="K11" s="35" t="n">
        <x:v>0</x:v>
      </x:c>
      <x:c r="L11" s="35" t="n">
        <x:v>0</x:v>
      </x:c>
      <x:c r="M11" s="35" t="n">
        <x:v>0</x:v>
      </x:c>
    </x:row>
    <x:row r="12">
      <x:c r="A12" t="str">
        <x:v>Autres encaissements / apports</x:v>
      </x:c>
      <x:c r="B12" s="42" t="n">
        <x:v>0.07</x:v>
      </x:c>
      <x:c r="C12" s="42" t="n">
        <x:v>3000</x:v>
      </x:c>
      <x:c r="D12" s="42" t="n">
        <x:v>0</x:v>
      </x:c>
      <x:c r="E12" s="42" t="n">
        <x:v>0</x:v>
      </x:c>
      <x:c r="F12" s="42" t="n">
        <x:v>1.35</x:v>
      </x:c>
      <x:c r="G12" s="42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0</x:v>
      </x:c>
      <x:c r="L12" s="35" t="n">
        <x:v>0</x:v>
      </x:c>
      <x:c r="M12" s="35" t="n">
        <x:v>0</x:v>
      </x:c>
    </x:row>
    <x:row r="13">
      <x:c r="A13" t="str">
        <x:v>FSE</x:v>
      </x:c>
      <x:c r="B13" s="42" t="n">
        <x:v>0</x:v>
      </x:c>
      <x:c r="C13" s="42" t="n">
        <x:v>0</x:v>
      </x:c>
      <x:c r="D13" s="42" t="n">
        <x:v>0</x:v>
      </x:c>
      <x:c r="E13" s="42" t="n">
        <x:v>0</x:v>
      </x:c>
      <x:c r="F13" s="42" t="n">
        <x:v>0</x:v>
      </x:c>
      <x:c r="G13" s="42" t="n">
        <x:v>0</x:v>
      </x:c>
      <x:c r="H13" s="35" t="n">
        <x:v>0</x:v>
      </x:c>
      <x:c r="I13" s="42" t="n">
        <x:v>46000</x:v>
      </x:c>
      <x:c r="J13" s="42" t="n">
        <x:v>0</x:v>
      </x:c>
      <x:c r="K13" s="42" t="n">
        <x:v>0</x:v>
      </x:c>
      <x:c r="L13" s="42" t="n">
        <x:v>46000</x:v>
      </x:c>
      <x:c r="M13" s="42" t="n">
        <x:v>0</x:v>
      </x:c>
    </x:row>
    <x:row r="14">
      <x:c r="A14" t="str">
        <x:v>Fondation de France</x:v>
      </x:c>
      <x:c r="B14" s="42" t="n">
        <x:v>0</x:v>
      </x:c>
      <x:c r="C14" s="42" t="n">
        <x:v>0</x:v>
      </x:c>
      <x:c r="D14" s="42" t="n">
        <x:v>0</x:v>
      </x:c>
      <x:c r="E14" s="42" t="n">
        <x:v>0</x:v>
      </x:c>
      <x:c r="F14" s="42" t="n">
        <x:v>0</x:v>
      </x:c>
      <x:c r="G14" s="42" t="n">
        <x:v>0</x:v>
      </x:c>
      <x:c r="H14" s="35" t="n">
        <x:v>0</x:v>
      </x:c>
      <x:c r="I14" s="42" t="n">
        <x:v>0</x:v>
      </x:c>
      <x:c r="J14" s="42" t="n">
        <x:v>15000</x:v>
      </x:c>
      <x:c r="K14" s="42" t="n">
        <x:v>0</x:v>
      </x:c>
      <x:c r="L14" s="42" t="n">
        <x:v>0</x:v>
      </x:c>
      <x:c r="M14" s="42" t="n">
        <x:v>0</x:v>
      </x:c>
    </x:row>
    <x:row r="15">
      <x:c r="A15" t="str">
        <x:v>ADEME</x:v>
      </x:c>
      <x:c r="B15" s="42" t="n">
        <x:v>0</x:v>
      </x:c>
      <x:c r="C15" s="42" t="n">
        <x:v>0</x:v>
      </x:c>
      <x:c r="D15" s="42" t="n">
        <x:v>0</x:v>
      </x:c>
      <x:c r="E15" s="42" t="n">
        <x:v>0</x:v>
      </x:c>
      <x:c r="F15" s="42" t="n">
        <x:v>0</x:v>
      </x:c>
      <x:c r="G15" s="42" t="n">
        <x:v>0</x:v>
      </x:c>
      <x:c r="H15" s="35" t="n">
        <x:v>0</x:v>
      </x:c>
      <x:c r="I15" s="42" t="n">
        <x:v>0</x:v>
      </x:c>
      <x:c r="J15" s="42" t="n">
        <x:v>0</x:v>
      </x:c>
      <x:c r="K15" s="42" t="n">
        <x:v>9000</x:v>
      </x:c>
      <x:c r="L15" s="42" t="n">
        <x:v>0</x:v>
      </x:c>
      <x:c r="M15" s="42" t="n">
        <x:v>0</x:v>
      </x:c>
    </x:row>
    <x:row r="16">
      <x:c r="A16" t="str">
        <x:v>DREETS</x:v>
      </x:c>
      <x:c r="B16" s="42" t="n">
        <x:v>0</x:v>
      </x:c>
      <x:c r="C16" s="42" t="n">
        <x:v>0</x:v>
      </x:c>
      <x:c r="D16" s="42" t="n">
        <x:v>0</x:v>
      </x:c>
      <x:c r="E16" s="42" t="n">
        <x:v>0</x:v>
      </x:c>
      <x:c r="F16" s="42" t="n">
        <x:v>0</x:v>
      </x:c>
      <x:c r="G16" s="42" t="n">
        <x:v>0</x:v>
      </x:c>
      <x:c r="H16" s="35" t="n">
        <x:v>0</x:v>
      </x:c>
      <x:c r="I16" s="42" t="n">
        <x:v>0</x:v>
      </x:c>
      <x:c r="J16" s="42" t="n">
        <x:v>0</x:v>
      </x:c>
      <x:c r="K16" s="42" t="n">
        <x:v>10000</x:v>
      </x:c>
      <x:c r="L16" s="42" t="n">
        <x:v>0</x:v>
      </x:c>
      <x:c r="M16" s="42" t="n">
        <x:v>15000</x:v>
      </x:c>
    </x:row>
    <x:row r="17">
      <x:c r="A17" t="str">
        <x:v>État</x:v>
      </x:c>
      <x:c r="B17" s="42" t="n">
        <x:v>0</x:v>
      </x:c>
      <x:c r="C17" s="42" t="n">
        <x:v>0</x:v>
      </x:c>
      <x:c r="D17" s="42" t="n">
        <x:v>0</x:v>
      </x:c>
      <x:c r="E17" s="42" t="n">
        <x:v>0</x:v>
      </x:c>
      <x:c r="F17" s="42" t="n">
        <x:v>0</x:v>
      </x:c>
      <x:c r="G17" s="42" t="n">
        <x:v>0</x:v>
      </x:c>
      <x:c r="H17" s="35" t="n">
        <x:v>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10000</x:v>
      </x:c>
    </x:row>
    <x:row r="18">
      <x:c r="A18" s="22" t="str">
        <x:v>TOTAL ENCAISSEMENTS</x:v>
      </x:c>
      <x:c r="B18" s="50" t="n">
        <x:f>SUM(B9:B17)</x:f>
        <x:v>641.8100000000001</x:v>
      </x:c>
      <x:c r="C18" s="50" t="n">
        <x:f>SUM(C9:C17)</x:f>
        <x:v>4051.74</x:v>
      </x:c>
      <x:c r="D18" s="50" t="n">
        <x:f>SUM(D9:D17)</x:f>
        <x:v>8553.869999999999</x:v>
      </x:c>
      <x:c r="E18" s="50" t="n">
        <x:f>SUM(E9:E17)</x:f>
        <x:v>876.29</x:v>
      </x:c>
      <x:c r="F18" s="50" t="n">
        <x:f>SUM(F9:F17)</x:f>
        <x:v>246.48999999999998</x:v>
      </x:c>
      <x:c r="G18" s="50" t="n">
        <x:f>SUM(G9:G17)</x:f>
        <x:v>40</x:v>
      </x:c>
      <x:c r="H18" s="50" t="n">
        <x:f>SUM(H9:H17)</x:f>
        <x:v>0</x:v>
      </x:c>
      <x:c r="I18" s="50" t="n">
        <x:f>SUM(I9:I17)</x:f>
        <x:v>46000</x:v>
      </x:c>
      <x:c r="J18" s="50" t="n">
        <x:f>SUM(J9:J17)</x:f>
        <x:v>15000</x:v>
      </x:c>
      <x:c r="K18" s="50" t="n">
        <x:f>SUM(K9:K17)</x:f>
        <x:v>19000</x:v>
      </x:c>
      <x:c r="L18" s="50" t="n">
        <x:f>SUM(L9:L17)</x:f>
        <x:v>46000</x:v>
      </x:c>
      <x:c r="M18" s="50" t="n">
        <x:f>SUM(M9:M17)</x:f>
        <x:v>25000</x:v>
      </x:c>
    </x:row>
    <x:row r="19"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</x:row>
    <x:row r="20">
      <x:c r="A20" s="16" t="str">
        <x:v>DÉCAISSEMENTS</x:v>
      </x:c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</x:row>
    <x:row r="21">
      <x:c r="A21" t="str">
        <x:v>Salaires nets</x:v>
      </x:c>
      <x:c r="B21" s="51" t="n">
        <x:v>12293</x:v>
      </x:c>
      <x:c r="C21" s="51" t="n">
        <x:v>1766.12</x:v>
      </x:c>
      <x:c r="D21" s="51" t="n">
        <x:v>8982.23</x:v>
      </x:c>
      <x:c r="E21" s="51" t="n">
        <x:v>4642.95</x:v>
      </x:c>
      <x:c r="F21" s="51" t="n">
        <x:v>0</x:v>
      </x:c>
      <x:c r="G21" s="51" t="n">
        <x:v>13064.64</x:v>
      </x:c>
      <x:c r="H21" s="51" t="n">
        <x:f>'Hypothèses'!$D$4</x:f>
        <x:v>6791.49</x:v>
      </x:c>
      <x:c r="I21" s="51" t="n">
        <x:f>'Hypothèses'!$D$4</x:f>
        <x:v>6791.49</x:v>
      </x:c>
      <x:c r="J21" s="51" t="n">
        <x:f>'Hypothèses'!$D$4</x:f>
        <x:v>6791.49</x:v>
      </x:c>
      <x:c r="K21" s="51" t="n">
        <x:f>'Hypothèses'!$D$4</x:f>
        <x:v>6791.49</x:v>
      </x:c>
      <x:c r="L21" s="51" t="n">
        <x:f>'Hypothèses'!$D$4</x:f>
        <x:v>6791.49</x:v>
      </x:c>
      <x:c r="M21" s="51" t="n">
        <x:f>'Hypothèses'!$D$4</x:f>
        <x:v>6791.49</x:v>
      </x:c>
    </x:row>
    <x:row r="22">
      <x:c r="A22" t="str">
        <x:v>Cotisations URSSAF</x:v>
      </x:c>
      <x:c r="B22" s="51" t="n">
        <x:v>2140</x:v>
      </x:c>
      <x:c r="C22" s="51" t="n">
        <x:v>2332</x:v>
      </x:c>
      <x:c r="D22" s="51" t="n">
        <x:v>1021</x:v>
      </x:c>
      <x:c r="E22" s="51" t="n">
        <x:v>1372</x:v>
      </x:c>
      <x:c r="F22" s="51" t="n">
        <x:v>2078</x:v>
      </x:c>
      <x:c r="G22" s="51" t="n">
        <x:v>2533</x:v>
      </x:c>
      <x:c r="H22" s="51" t="n">
        <x:f>'Hypothèses'!$D$5</x:f>
        <x:v>1912.67</x:v>
      </x:c>
      <x:c r="I22" s="51" t="n">
        <x:f>'Hypothèses'!$D$5</x:f>
        <x:v>1912.67</x:v>
      </x:c>
      <x:c r="J22" s="51" t="n">
        <x:f>'Hypothèses'!$D$5</x:f>
        <x:v>1912.67</x:v>
      </x:c>
      <x:c r="K22" s="51" t="n">
        <x:f>'Hypothèses'!$D$5</x:f>
        <x:v>1912.67</x:v>
      </x:c>
      <x:c r="L22" s="51" t="n">
        <x:f>'Hypothèses'!$D$5</x:f>
        <x:v>1912.67</x:v>
      </x:c>
      <x:c r="M22" s="51" t="n">
        <x:f>'Hypothèses'!$D$5</x:f>
        <x:v>1912.67</x:v>
      </x:c>
    </x:row>
    <x:row r="23">
      <x:c r="A23" t="str">
        <x:v>Mutuelle santé</x:v>
      </x:c>
      <x:c r="B23" s="51" t="n">
        <x:v>1127.48</x:v>
      </x:c>
      <x:c r="C23" s="51" t="n">
        <x:v>676.95</x:v>
      </x:c>
      <x:c r="D23" s="51" t="n">
        <x:v>424.12</x:v>
      </x:c>
      <x:c r="E23" s="51" t="n">
        <x:v>595.41</x:v>
      </x:c>
      <x:c r="F23" s="51" t="n">
        <x:v>595.41</x:v>
      </x:c>
      <x:c r="G23" s="51" t="n">
        <x:v>595.41</x:v>
      </x:c>
      <x:c r="H23" s="51" t="n">
        <x:f>'Hypothèses'!$D$6</x:f>
        <x:v>669.13</x:v>
      </x:c>
      <x:c r="I23" s="51" t="n">
        <x:f>'Hypothèses'!$D$6</x:f>
        <x:v>669.13</x:v>
      </x:c>
      <x:c r="J23" s="51" t="n">
        <x:f>'Hypothèses'!$D$6</x:f>
        <x:v>669.13</x:v>
      </x:c>
      <x:c r="K23" s="51" t="n">
        <x:f>'Hypothèses'!$D$6</x:f>
        <x:v>669.13</x:v>
      </x:c>
      <x:c r="L23" s="51" t="n">
        <x:f>'Hypothèses'!$D$6</x:f>
        <x:v>669.13</x:v>
      </x:c>
      <x:c r="M23" s="51" t="n">
        <x:f>'Hypothèses'!$D$6</x:f>
        <x:v>669.13</x:v>
      </x:c>
    </x:row>
    <x:row r="24">
      <x:c r="A24" t="str">
        <x:v>Prélèvement à la source / impôts</x:v>
      </x:c>
      <x:c r="B24" s="51" t="n">
        <x:v>166</x:v>
      </x:c>
      <x:c r="C24" s="51" t="n">
        <x:v>6</x:v>
      </x:c>
      <x:c r="D24" s="51" t="n">
        <x:v>97</x:v>
      </x:c>
      <x:c r="E24" s="51" t="n">
        <x:v>0</x:v>
      </x:c>
      <x:c r="F24" s="51" t="n">
        <x:v>0</x:v>
      </x:c>
      <x:c r="G24" s="51" t="n">
        <x:v>49</x:v>
      </x:c>
      <x:c r="H24" s="51" t="n">
        <x:f>'Hypothèses'!$D$7</x:f>
        <x:v>53</x:v>
      </x:c>
      <x:c r="I24" s="51" t="n">
        <x:f>'Hypothèses'!$D$7</x:f>
        <x:v>53</x:v>
      </x:c>
      <x:c r="J24" s="51" t="n">
        <x:f>'Hypothèses'!$D$7</x:f>
        <x:v>53</x:v>
      </x:c>
      <x:c r="K24" s="51" t="n">
        <x:f>'Hypothèses'!$D$7</x:f>
        <x:v>53</x:v>
      </x:c>
      <x:c r="L24" s="51" t="n">
        <x:f>'Hypothèses'!$D$7</x:f>
        <x:v>53</x:v>
      </x:c>
      <x:c r="M24" s="51" t="n">
        <x:f>'Hypothèses'!$D$7</x:f>
        <x:v>53</x:v>
      </x:c>
    </x:row>
    <x:row r="25">
      <x:c r="A25" t="str">
        <x:v>Retraite et prévoyance</x:v>
      </x:c>
      <x:c r="B25" s="51" t="n">
        <x:v>822.75</x:v>
      </x:c>
      <x:c r="C25" s="51" t="n">
        <x:v>470.23</x:v>
      </x:c>
      <x:c r="D25" s="51" t="n">
        <x:v>196.59</x:v>
      </x:c>
      <x:c r="E25" s="51" t="n">
        <x:v>492.15</x:v>
      </x:c>
      <x:c r="F25" s="51" t="n">
        <x:v>392.43</x:v>
      </x:c>
      <x:c r="G25" s="51" t="n">
        <x:v>480.41</x:v>
      </x:c>
      <x:c r="H25" s="51" t="n">
        <x:f>'Hypothèses'!$D$8</x:f>
        <x:v>475.76</x:v>
      </x:c>
      <x:c r="I25" s="51" t="n">
        <x:f>'Hypothèses'!$D$8</x:f>
        <x:v>475.76</x:v>
      </x:c>
      <x:c r="J25" s="51" t="n">
        <x:f>'Hypothèses'!$D$8</x:f>
        <x:v>475.76</x:v>
      </x:c>
      <x:c r="K25" s="51" t="n">
        <x:f>'Hypothèses'!$D$8</x:f>
        <x:v>475.76</x:v>
      </x:c>
      <x:c r="L25" s="51" t="n">
        <x:f>'Hypothèses'!$D$8</x:f>
        <x:v>475.76</x:v>
      </x:c>
      <x:c r="M25" s="51" t="n">
        <x:f>'Hypothèses'!$D$8</x:f>
        <x:v>475.76</x:v>
      </x:c>
    </x:row>
    <x:row r="26">
      <x:c r="A26" t="str">
        <x:v>Assurances</x:v>
      </x:c>
      <x:c r="B26" s="51" t="n">
        <x:v>481.71</x:v>
      </x:c>
      <x:c r="C26" s="51" t="n">
        <x:v>288.47</x:v>
      </x:c>
      <x:c r="D26" s="51" t="n">
        <x:v>288.47</x:v>
      </x:c>
      <x:c r="E26" s="51" t="n">
        <x:v>292.37</x:v>
      </x:c>
      <x:c r="F26" s="51" t="n">
        <x:v>292.37</x:v>
      </x:c>
      <x:c r="G26" s="51" t="n">
        <x:v>293.6</x:v>
      </x:c>
      <x:c r="H26" s="51" t="n">
        <x:f>'Hypothèses'!$D$9</x:f>
        <x:v>322.83</x:v>
      </x:c>
      <x:c r="I26" s="51" t="n">
        <x:f>'Hypothèses'!$D$9</x:f>
        <x:v>322.83</x:v>
      </x:c>
      <x:c r="J26" s="51" t="n">
        <x:f>'Hypothèses'!$D$9</x:f>
        <x:v>322.83</x:v>
      </x:c>
      <x:c r="K26" s="51" t="n">
        <x:f>'Hypothèses'!$D$9</x:f>
        <x:v>322.83</x:v>
      </x:c>
      <x:c r="L26" s="51" t="n">
        <x:f>'Hypothèses'!$D$9</x:f>
        <x:v>322.83</x:v>
      </x:c>
      <x:c r="M26" s="51" t="n">
        <x:f>'Hypothèses'!$D$9</x:f>
        <x:v>322.83</x:v>
      </x:c>
    </x:row>
    <x:row r="27">
      <x:c r="A27" t="str">
        <x:v>Électricité</x:v>
      </x:c>
      <x:c r="B27" s="51" t="n">
        <x:v>88.62</x:v>
      </x:c>
      <x:c r="C27" s="51" t="n">
        <x:v>157.66</x:v>
      </x:c>
      <x:c r="D27" s="51" t="n">
        <x:v>103.91</x:v>
      </x:c>
      <x:c r="E27" s="51" t="n">
        <x:v>81.98</x:v>
      </x:c>
      <x:c r="F27" s="51" t="n">
        <x:v>51.49</x:v>
      </x:c>
      <x:c r="G27" s="51" t="n">
        <x:v>46.09</x:v>
      </x:c>
      <x:c r="H27" s="51" t="n">
        <x:f>'Hypothèses'!$D$10</x:f>
        <x:v>88.29</x:v>
      </x:c>
      <x:c r="I27" s="51" t="n">
        <x:f>'Hypothèses'!$D$10</x:f>
        <x:v>88.29</x:v>
      </x:c>
      <x:c r="J27" s="51" t="n">
        <x:f>'Hypothèses'!$D$10</x:f>
        <x:v>88.29</x:v>
      </x:c>
      <x:c r="K27" s="51" t="n">
        <x:f>'Hypothèses'!$D$10</x:f>
        <x:v>88.29</x:v>
      </x:c>
      <x:c r="L27" s="51" t="n">
        <x:f>'Hypothèses'!$D$10</x:f>
        <x:v>88.29</x:v>
      </x:c>
      <x:c r="M27" s="51" t="n">
        <x:f>'Hypothèses'!$D$10</x:f>
        <x:v>88.29</x:v>
      </x:c>
    </x:row>
    <x:row r="28">
      <x:c r="A28" t="str">
        <x:v>Télécommunications</x:v>
      </x:c>
      <x:c r="B28" s="51" t="n">
        <x:v>83.96</x:v>
      </x:c>
      <x:c r="C28" s="51" t="n">
        <x:v>83.96</x:v>
      </x:c>
      <x:c r="D28" s="51" t="n">
        <x:v>83.96</x:v>
      </x:c>
      <x:c r="E28" s="51" t="n">
        <x:v>83.96</x:v>
      </x:c>
      <x:c r="F28" s="51" t="n">
        <x:v>83.96</x:v>
      </x:c>
      <x:c r="G28" s="51" t="n">
        <x:v>83.96</x:v>
      </x:c>
      <x:c r="H28" s="51" t="n">
        <x:f>'Hypothèses'!$D$11</x:f>
        <x:v>83.96</x:v>
      </x:c>
      <x:c r="I28" s="51" t="n">
        <x:f>'Hypothèses'!$D$11</x:f>
        <x:v>83.96</x:v>
      </x:c>
      <x:c r="J28" s="51" t="n">
        <x:f>'Hypothèses'!$D$11</x:f>
        <x:v>83.96</x:v>
      </x:c>
      <x:c r="K28" s="51" t="n">
        <x:f>'Hypothèses'!$D$11</x:f>
        <x:v>83.96</x:v>
      </x:c>
      <x:c r="L28" s="51" t="n">
        <x:f>'Hypothèses'!$D$11</x:f>
        <x:v>83.96</x:v>
      </x:c>
      <x:c r="M28" s="51" t="n">
        <x:f>'Hypothèses'!$D$11</x:f>
        <x:v>83.96</x:v>
      </x:c>
    </x:row>
    <x:row r="29">
      <x:c r="A29" t="str">
        <x:v>Expertise comptable</x:v>
      </x:c>
      <x:c r="B29" s="51" t="n">
        <x:v>0</x:v>
      </x:c>
      <x:c r="C29" s="51" t="n">
        <x:v>1675.2</x:v>
      </x:c>
      <x:c r="D29" s="51" t="n">
        <x:v>399.15</x:v>
      </x:c>
      <x:c r="E29" s="51" t="n">
        <x:v>1533.35</x:v>
      </x:c>
      <x:c r="F29" s="51" t="n">
        <x:v>139.2</x:v>
      </x:c>
      <x:c r="G29" s="51" t="n">
        <x:v>174</x:v>
      </x:c>
      <x:c r="H29" s="51" t="n">
        <x:f>'Hypothèses'!$D$12</x:f>
        <x:v>653.48</x:v>
      </x:c>
      <x:c r="I29" s="51" t="n">
        <x:f>'Hypothèses'!$D$12</x:f>
        <x:v>653.48</x:v>
      </x:c>
      <x:c r="J29" s="51" t="n">
        <x:f>'Hypothèses'!$D$12</x:f>
        <x:v>653.48</x:v>
      </x:c>
      <x:c r="K29" s="51" t="n">
        <x:f>'Hypothèses'!$D$12</x:f>
        <x:v>653.48</x:v>
      </x:c>
      <x:c r="L29" s="51" t="n">
        <x:f>'Hypothèses'!$D$12</x:f>
        <x:v>653.48</x:v>
      </x:c>
      <x:c r="M29" s="51" t="n">
        <x:f>'Hypothèses'!$D$12</x:f>
        <x:v>653.48</x:v>
      </x:c>
    </x:row>
    <x:row r="30">
      <x:c r="A30" t="str">
        <x:v>Prestations informatiques / Duthoo</x:v>
      </x:c>
      <x:c r="B30" s="51" t="n">
        <x:v>1800</x:v>
      </x:c>
      <x:c r="C30" s="51" t="n">
        <x:v>1800</x:v>
      </x:c>
      <x:c r="D30" s="51" t="n">
        <x:v>3600</x:v>
      </x:c>
      <x:c r="E30" s="51" t="n">
        <x:v>7200</x:v>
      </x:c>
      <x:c r="F30" s="51" t="n">
        <x:v>3600</x:v>
      </x:c>
      <x:c r="G30" s="51" t="n">
        <x:v>3600</x:v>
      </x:c>
      <x:c r="H30" s="51" t="n">
        <x:f>'Hypothèses'!$D$13</x:f>
        <x:v>3600</x:v>
      </x:c>
      <x:c r="I30" s="51" t="n">
        <x:f>'Hypothèses'!$D$13</x:f>
        <x:v>3600</x:v>
      </x:c>
      <x:c r="J30" s="51" t="n">
        <x:f>'Hypothèses'!$D$13</x:f>
        <x:v>3600</x:v>
      </x:c>
      <x:c r="K30" s="51" t="n">
        <x:f>'Hypothèses'!$D$13</x:f>
        <x:v>3600</x:v>
      </x:c>
      <x:c r="L30" s="51" t="n">
        <x:f>'Hypothèses'!$D$13</x:f>
        <x:v>3600</x:v>
      </x:c>
      <x:c r="M30" s="51" t="n">
        <x:f>'Hypothèses'!$D$13</x:f>
        <x:v>3600</x:v>
      </x:c>
    </x:row>
    <x:row r="31">
      <x:c r="A31" t="str">
        <x:v>Médecine du travail / frais de personnel</x:v>
      </x:c>
      <x:c r="B31" s="51" t="n">
        <x:v>0</x:v>
      </x:c>
      <x:c r="C31" s="51" t="n">
        <x:v>513.6</x:v>
      </x:c>
      <x:c r="D31" s="51" t="n">
        <x:v>256.8</x:v>
      </x:c>
      <x:c r="E31" s="51" t="n">
        <x:v>128.4</x:v>
      </x:c>
      <x:c r="F31" s="51" t="n">
        <x:v>0</x:v>
      </x:c>
      <x:c r="G31" s="51" t="n">
        <x:v>0</x:v>
      </x:c>
      <x:c r="H31" s="51" t="n">
        <x:f>'Hypothèses'!$D$14</x:f>
        <x:v>149.8</x:v>
      </x:c>
      <x:c r="I31" s="51" t="n">
        <x:f>'Hypothèses'!$D$14</x:f>
        <x:v>149.8</x:v>
      </x:c>
      <x:c r="J31" s="51" t="n">
        <x:f>'Hypothèses'!$D$14</x:f>
        <x:v>149.8</x:v>
      </x:c>
      <x:c r="K31" s="51" t="n">
        <x:f>'Hypothèses'!$D$14</x:f>
        <x:v>149.8</x:v>
      </x:c>
      <x:c r="L31" s="51" t="n">
        <x:f>'Hypothèses'!$D$14</x:f>
        <x:v>149.8</x:v>
      </x:c>
      <x:c r="M31" s="51" t="n">
        <x:f>'Hypothèses'!$D$14</x:f>
        <x:v>149.8</x:v>
      </x:c>
    </x:row>
    <x:row r="32">
      <x:c r="A32" t="str">
        <x:v>Travaux et investissements</x:v>
      </x:c>
      <x:c r="B32" s="51" t="n">
        <x:v>2000</x:v>
      </x:c>
      <x:c r="C32" s="51" t="n">
        <x:v>0</x:v>
      </x:c>
      <x:c r="D32" s="51" t="n">
        <x:v>0</x:v>
      </x:c>
      <x:c r="E32" s="51" t="n">
        <x:v>4000</x:v>
      </x:c>
      <x:c r="F32" s="51" t="n">
        <x:v>2000</x:v>
      </x:c>
      <x:c r="G32" s="51" t="n">
        <x:v>0</x:v>
      </x:c>
      <x:c r="H32" s="51" t="n">
        <x:f>'Hypothèses'!$D$15</x:f>
        <x:v>1333.33</x:v>
      </x:c>
      <x:c r="I32" s="51" t="n">
        <x:f>'Hypothèses'!$D$15</x:f>
        <x:v>1333.33</x:v>
      </x:c>
      <x:c r="J32" s="51" t="n">
        <x:f>'Hypothèses'!$D$15</x:f>
        <x:v>1333.33</x:v>
      </x:c>
      <x:c r="K32" s="51" t="n">
        <x:f>'Hypothèses'!$D$15</x:f>
        <x:v>1333.33</x:v>
      </x:c>
      <x:c r="L32" s="51" t="n">
        <x:f>'Hypothèses'!$D$15</x:f>
        <x:v>1333.33</x:v>
      </x:c>
      <x:c r="M32" s="51" t="n">
        <x:f>'Hypothèses'!$D$15</x:f>
        <x:v>1333.33</x:v>
      </x:c>
    </x:row>
    <x:row r="33">
      <x:c r="A33" t="str">
        <x:v>Autres prestataires et dépenses d'actions</x:v>
      </x:c>
      <x:c r="B33" s="51" t="n">
        <x:v>14224.09</x:v>
      </x:c>
      <x:c r="C33" s="51" t="n">
        <x:v>2000</x:v>
      </x:c>
      <x:c r="D33" s="51" t="n">
        <x:v>2263.7</x:v>
      </x:c>
      <x:c r="E33" s="51" t="n">
        <x:v>2000</x:v>
      </x:c>
      <x:c r="F33" s="51" t="n">
        <x:v>2739.15</x:v>
      </x:c>
      <x:c r="G33" s="51" t="n">
        <x:v>100.08</x:v>
      </x:c>
      <x:c r="H33" s="51" t="n">
        <x:f>'Hypothèses'!$D$16</x:f>
        <x:v>3887.84</x:v>
      </x:c>
      <x:c r="I33" s="51" t="n">
        <x:f>'Hypothèses'!$D$16</x:f>
        <x:v>3887.84</x:v>
      </x:c>
      <x:c r="J33" s="51" t="n">
        <x:f>'Hypothèses'!$D$16</x:f>
        <x:v>3887.84</x:v>
      </x:c>
      <x:c r="K33" s="51" t="n">
        <x:f>'Hypothèses'!$D$16</x:f>
        <x:v>3887.84</x:v>
      </x:c>
      <x:c r="L33" s="51" t="n">
        <x:f>'Hypothèses'!$D$16</x:f>
        <x:v>3887.84</x:v>
      </x:c>
      <x:c r="M33" s="51" t="n">
        <x:f>'Hypothèses'!$D$16</x:f>
        <x:v>3887.84</x:v>
      </x:c>
    </x:row>
    <x:row r="34">
      <x:c r="A34" t="str">
        <x:v>Déplacements, hébergement et notes de frais</x:v>
      </x:c>
      <x:c r="B34" s="51" t="n">
        <x:v>127.36</x:v>
      </x:c>
      <x:c r="C34" s="51" t="n">
        <x:v>590.41</x:v>
      </x:c>
      <x:c r="D34" s="51" t="n">
        <x:v>112.34</x:v>
      </x:c>
      <x:c r="E34" s="51" t="n">
        <x:v>164.74</x:v>
      </x:c>
      <x:c r="F34" s="51" t="n">
        <x:v>130.98</x:v>
      </x:c>
      <x:c r="G34" s="51" t="n">
        <x:v>123.25</x:v>
      </x:c>
      <x:c r="H34" s="51" t="n">
        <x:f>'Hypothèses'!$D$17</x:f>
        <x:v>208.18</x:v>
      </x:c>
      <x:c r="I34" s="51" t="n">
        <x:f>'Hypothèses'!$D$17</x:f>
        <x:v>208.18</x:v>
      </x:c>
      <x:c r="J34" s="51" t="n">
        <x:f>'Hypothèses'!$D$17</x:f>
        <x:v>208.18</x:v>
      </x:c>
      <x:c r="K34" s="51" t="n">
        <x:f>'Hypothèses'!$D$17</x:f>
        <x:v>208.18</x:v>
      </x:c>
      <x:c r="L34" s="51" t="n">
        <x:f>'Hypothèses'!$D$17</x:f>
        <x:v>208.18</x:v>
      </x:c>
      <x:c r="M34" s="51" t="n">
        <x:f>'Hypothèses'!$D$17</x:f>
        <x:v>208.18</x:v>
      </x:c>
    </x:row>
    <x:row r="35">
      <x:c r="A35" t="str">
        <x:v>Communication, logiciels et abonnements</x:v>
      </x:c>
      <x:c r="B35" s="51" t="n">
        <x:v>314.17</x:v>
      </x:c>
      <x:c r="C35" s="51" t="n">
        <x:v>408.77</x:v>
      </x:c>
      <x:c r="D35" s="51" t="n">
        <x:v>186.16</x:v>
      </x:c>
      <x:c r="E35" s="51" t="n">
        <x:v>186.16</x:v>
      </x:c>
      <x:c r="F35" s="51" t="n">
        <x:v>186.16</x:v>
      </x:c>
      <x:c r="G35" s="51" t="n">
        <x:v>741.52</x:v>
      </x:c>
      <x:c r="H35" s="51" t="n">
        <x:f>'Hypothèses'!$D$18</x:f>
        <x:v>337.16</x:v>
      </x:c>
      <x:c r="I35" s="51" t="n">
        <x:f>'Hypothèses'!$D$18</x:f>
        <x:v>337.16</x:v>
      </x:c>
      <x:c r="J35" s="51" t="n">
        <x:f>'Hypothèses'!$D$18</x:f>
        <x:v>337.16</x:v>
      </x:c>
      <x:c r="K35" s="51" t="n">
        <x:f>'Hypothèses'!$D$18</x:f>
        <x:v>337.16</x:v>
      </x:c>
      <x:c r="L35" s="51" t="n">
        <x:f>'Hypothèses'!$D$18</x:f>
        <x:v>337.16</x:v>
      </x:c>
      <x:c r="M35" s="51" t="n">
        <x:f>'Hypothèses'!$D$18</x:f>
        <x:v>337.16</x:v>
      </x:c>
    </x:row>
    <x:row r="36">
      <x:c r="A36" t="str">
        <x:v>Achats, fournitures, restauration et événementiel</x:v>
      </x:c>
      <x:c r="B36" s="51" t="n">
        <x:v>382.15</x:v>
      </x:c>
      <x:c r="C36" s="51" t="n">
        <x:v>133.61</x:v>
      </x:c>
      <x:c r="D36" s="51" t="n">
        <x:v>851.6</x:v>
      </x:c>
      <x:c r="E36" s="51" t="n">
        <x:v>474.56</x:v>
      </x:c>
      <x:c r="F36" s="51" t="n">
        <x:v>91.56</x:v>
      </x:c>
      <x:c r="G36" s="51" t="n">
        <x:v>152.76</x:v>
      </x:c>
      <x:c r="H36" s="51" t="n">
        <x:f>'Hypothèses'!$D$19</x:f>
        <x:v>347.71</x:v>
      </x:c>
      <x:c r="I36" s="51" t="n">
        <x:f>'Hypothèses'!$D$19</x:f>
        <x:v>347.71</x:v>
      </x:c>
      <x:c r="J36" s="51" t="n">
        <x:f>'Hypothèses'!$D$19</x:f>
        <x:v>347.71</x:v>
      </x:c>
      <x:c r="K36" s="51" t="n">
        <x:f>'Hypothèses'!$D$19</x:f>
        <x:v>347.71</x:v>
      </x:c>
      <x:c r="L36" s="51" t="n">
        <x:f>'Hypothèses'!$D$19</x:f>
        <x:v>347.71</x:v>
      </x:c>
      <x:c r="M36" s="51" t="n">
        <x:f>'Hypothèses'!$D$19</x:f>
        <x:v>347.71</x:v>
      </x:c>
    </x:row>
    <x:row r="37">
      <x:c r="A37" t="str">
        <x:v>Frais bancaires et divers</x:v>
      </x:c>
      <x:c r="B37" s="51" t="n">
        <x:v>43.77</x:v>
      </x:c>
      <x:c r="C37" s="51" t="n">
        <x:v>0</x:v>
      </x:c>
      <x:c r="D37" s="51" t="n">
        <x:v>0</x:v>
      </x:c>
      <x:c r="E37" s="51" t="n">
        <x:v>0</x:v>
      </x:c>
      <x:c r="F37" s="51" t="n">
        <x:v>1</x:v>
      </x:c>
      <x:c r="G37" s="51" t="n">
        <x:v>0</x:v>
      </x:c>
      <x:c r="H37" s="51" t="n">
        <x:f>'Hypothèses'!$D$20</x:f>
        <x:v>7.46</x:v>
      </x:c>
      <x:c r="I37" s="51" t="n">
        <x:f>'Hypothèses'!$D$20</x:f>
        <x:v>7.46</x:v>
      </x:c>
      <x:c r="J37" s="51" t="n">
        <x:f>'Hypothèses'!$D$20</x:f>
        <x:v>7.46</x:v>
      </x:c>
      <x:c r="K37" s="51" t="n">
        <x:f>'Hypothèses'!$D$20</x:f>
        <x:v>7.46</x:v>
      </x:c>
      <x:c r="L37" s="51" t="n">
        <x:f>'Hypothèses'!$D$20</x:f>
        <x:v>7.46</x:v>
      </x:c>
      <x:c r="M37" s="51" t="n">
        <x:f>'Hypothèses'!$D$20</x:f>
        <x:v>7.46</x:v>
      </x:c>
    </x:row>
    <x:row r="38">
      <x:c r="A38" s="22" t="str">
        <x:v>TOTAL DÉCAISSEMENTS</x:v>
      </x:c>
      <x:c r="B38" s="50" t="n">
        <x:f>SUM(B21:B37)</x:f>
        <x:v>36095.06</x:v>
      </x:c>
      <x:c r="C38" s="50" t="n">
        <x:f>SUM(C21:C37)</x:f>
        <x:v>12902.980000000001</x:v>
      </x:c>
      <x:c r="D38" s="50" t="n">
        <x:f>SUM(D21:D37)</x:f>
        <x:v>18867.029999999995</x:v>
      </x:c>
      <x:c r="E38" s="50" t="n">
        <x:f>SUM(E21:E37)</x:f>
        <x:v>23248.030000000002</x:v>
      </x:c>
      <x:c r="F38" s="50" t="n">
        <x:f>SUM(F21:F37)</x:f>
        <x:v>12381.709999999997</x:v>
      </x:c>
      <x:c r="G38" s="50" t="n">
        <x:f>SUM(G21:G37)</x:f>
        <x:v>22037.719999999998</x:v>
      </x:c>
      <x:c r="H38" s="50" t="n">
        <x:f>SUM(H21:H37)</x:f>
        <x:v>20922.089999999997</x:v>
      </x:c>
      <x:c r="I38" s="50" t="n">
        <x:f>SUM(I21:I37)</x:f>
        <x:v>20922.089999999997</x:v>
      </x:c>
      <x:c r="J38" s="50" t="n">
        <x:f>SUM(J21:J37)</x:f>
        <x:v>20922.089999999997</x:v>
      </x:c>
      <x:c r="K38" s="50" t="n">
        <x:f>SUM(K21:K37)</x:f>
        <x:v>20922.089999999997</x:v>
      </x:c>
      <x:c r="L38" s="50" t="n">
        <x:f>SUM(L21:L37)</x:f>
        <x:v>20922.089999999997</x:v>
      </x:c>
      <x:c r="M38" s="50" t="n">
        <x:f>SUM(M21:M37)</x:f>
        <x:v>20922.089999999997</x:v>
      </x:c>
    </x:row>
    <x:row r="39"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</x:row>
    <x:row r="40">
      <x:c r="A40" s="22" t="str">
        <x:v>VARIATION MENSUELLE DE TRÉSORERIE</x:v>
      </x:c>
      <x:c r="B40" s="50" t="n">
        <x:f>ROUND(B18-B38,2)</x:f>
        <x:v>-35453.25</x:v>
      </x:c>
      <x:c r="C40" s="50" t="n">
        <x:f>ROUND(C18-C38,2)</x:f>
        <x:v>-8851.24</x:v>
      </x:c>
      <x:c r="D40" s="50" t="n">
        <x:f>ROUND(D18-D38,2)</x:f>
        <x:v>-10313.16</x:v>
      </x:c>
      <x:c r="E40" s="50" t="n">
        <x:f>ROUND(E18-E38,2)</x:f>
        <x:v>-22371.74</x:v>
      </x:c>
      <x:c r="F40" s="50" t="n">
        <x:f>ROUND(F18-F38,2)</x:f>
        <x:v>-12135.22</x:v>
      </x:c>
      <x:c r="G40" s="50" t="n">
        <x:f>ROUND(G18-G38,2)</x:f>
        <x:v>-21997.72</x:v>
      </x:c>
      <x:c r="H40" s="50" t="n">
        <x:f>ROUND(H18-H38,2)</x:f>
        <x:v>-20922.09</x:v>
      </x:c>
      <x:c r="I40" s="50" t="n">
        <x:f>ROUND(I18-I38,2)</x:f>
        <x:v>25077.91</x:v>
      </x:c>
      <x:c r="J40" s="50" t="n">
        <x:f>ROUND(J18-J38,2)</x:f>
        <x:v>-5922.09</x:v>
      </x:c>
      <x:c r="K40" s="50" t="n">
        <x:f>ROUND(K18-K38,2)</x:f>
        <x:v>-1922.09</x:v>
      </x:c>
      <x:c r="L40" s="50" t="n">
        <x:f>ROUND(L18-L38,2)</x:f>
        <x:v>25077.91</x:v>
      </x:c>
      <x:c r="M40" s="50" t="n">
        <x:f>ROUND(M18-M38,2)</x:f>
        <x:v>4077.91</x:v>
      </x:c>
    </x:row>
    <x:row r="41">
      <x:c r="A41" s="22" t="str">
        <x:v>SOLDE DE TRÉSORERIE EN FIN DE MOIS</x:v>
      </x:c>
      <x:c r="B41" s="50" t="n">
        <x:f>ROUND(B6+B40,2)</x:f>
        <x:v>77406.02</x:v>
      </x:c>
      <x:c r="C41" s="50" t="n">
        <x:f>ROUND(C6+C40,2)</x:f>
        <x:v>68554.78</x:v>
      </x:c>
      <x:c r="D41" s="50" t="n">
        <x:f>ROUND(D6+D40,2)</x:f>
        <x:v>58241.62</x:v>
      </x:c>
      <x:c r="E41" s="50" t="n">
        <x:f>ROUND(E6+E40,2)</x:f>
        <x:v>35869.88</x:v>
      </x:c>
      <x:c r="F41" s="50" t="n">
        <x:f>ROUND(F6+F40,2)</x:f>
        <x:v>23734.66</x:v>
      </x:c>
      <x:c r="G41" s="50" t="n">
        <x:f>ROUND(G6+G40,2)</x:f>
        <x:v>1736.94</x:v>
      </x:c>
      <x:c r="H41" s="50" t="n">
        <x:f>ROUND(H6+H40,2)</x:f>
        <x:v>-19185.15</x:v>
      </x:c>
      <x:c r="I41" s="50" t="n">
        <x:f>ROUND(I6+I40,2)</x:f>
        <x:v>5892.76</x:v>
      </x:c>
      <x:c r="J41" s="50" t="n">
        <x:f>ROUND(J6+J40,2)</x:f>
        <x:v>-29.33</x:v>
      </x:c>
      <x:c r="K41" s="50" t="n">
        <x:f>ROUND(K6+K40,2)</x:f>
        <x:v>-1951.42</x:v>
      </x:c>
      <x:c r="L41" s="50" t="n">
        <x:f>ROUND(L6+L40,2)</x:f>
        <x:v>23126.49</x:v>
      </x:c>
      <x:c r="M41" s="50" t="n">
        <x:f>ROUND(M6+M40,2)</x:f>
        <x:v>27204.4</x:v>
      </x:c>
    </x:row>
    <x:row r="42">
      <x:c r="A42" s="27" t="str">
        <x:v>SOLDE BANCAIRE RÉEL (CONTRÔLE JANVIER-JUIN)</x:v>
      </x:c>
      <x:c r="B42" s="37" t="n">
        <x:v>77406.02</x:v>
      </x:c>
      <x:c r="C42" s="37" t="n">
        <x:v>68554.78</x:v>
      </x:c>
      <x:c r="D42" s="37" t="n">
        <x:v>58241.62</x:v>
      </x:c>
      <x:c r="E42" s="37" t="n">
        <x:v>35869.88</x:v>
      </x:c>
      <x:c r="F42" s="37" t="n">
        <x:v>23734.66</x:v>
      </x:c>
      <x:c r="G42" s="37" t="n">
        <x:v>1736.94</x:v>
      </x:c>
      <x:c r="H42" s="37" t="str"/>
      <x:c r="I42" s="37" t="str"/>
      <x:c r="J42" s="37" t="str"/>
      <x:c r="K42" s="37" t="str"/>
      <x:c r="L42" s="37" t="str"/>
      <x:c r="M42" s="37" t="str"/>
    </x:row>
    <x:row r="43">
      <x:c r="A43" s="27" t="str">
        <x:v>ÉCART DE CONTRÔLE</x:v>
      </x:c>
      <x:c r="B43" s="37" t="n">
        <x:f>ROUND(B41-B42,2)</x:f>
        <x:v>0</x:v>
      </x:c>
      <x:c r="C43" s="37" t="n">
        <x:f>ROUND(C41-C42,2)</x:f>
        <x:v>0</x:v>
      </x:c>
      <x:c r="D43" s="37" t="n">
        <x:f>ROUND(D41-D42,2)</x:f>
        <x:v>0</x:v>
      </x:c>
      <x:c r="E43" s="37" t="n">
        <x:f>ROUND(E41-E42,2)</x:f>
        <x:v>0</x:v>
      </x:c>
      <x:c r="F43" s="37" t="n">
        <x:f>ROUND(F41-F42,2)</x:f>
        <x:v>0</x:v>
      </x:c>
      <x:c r="G43" s="37" t="n">
        <x:f>ROUND(G41-G42,2)</x:f>
        <x:v>0</x:v>
      </x:c>
      <x:c r="H43" s="37" t="str"/>
      <x:c r="I43" s="37" t="str"/>
      <x:c r="J43" s="37" t="str"/>
      <x:c r="K43" s="37" t="str"/>
      <x:c r="L43" s="37" t="str"/>
      <x:c r="M43" s="37" t="str"/>
    </x:row>
    <x:row r="44">
      <x:c r="A44" s="31" t="str">
        <x:v>ALERTE / BESOIN DE TRÉSORERIE</x:v>
      </x:c>
      <x:c r="B44" s="31" t="str">
        <x:f>IF(B41&lt;0,"BESOIN","OK")</x:f>
        <x:v>OK</x:v>
      </x:c>
      <x:c r="C44" s="31" t="str">
        <x:f>IF(C41&lt;0,"BESOIN","OK")</x:f>
        <x:v>OK</x:v>
      </x:c>
      <x:c r="D44" s="31" t="str">
        <x:f>IF(D41&lt;0,"BESOIN","OK")</x:f>
        <x:v>OK</x:v>
      </x:c>
      <x:c r="E44" s="31" t="str">
        <x:f>IF(E41&lt;0,"BESOIN","OK")</x:f>
        <x:v>OK</x:v>
      </x:c>
      <x:c r="F44" s="31" t="str">
        <x:f>IF(F41&lt;0,"BESOIN","OK")</x:f>
        <x:v>OK</x:v>
      </x:c>
      <x:c r="G44" s="31" t="str">
        <x:f>IF(G41&lt;0,"BESOIN","OK")</x:f>
        <x:v>OK</x:v>
      </x:c>
      <x:c r="H44" s="31" t="str">
        <x:f>IF(H41&lt;0,"BESOIN","OK")</x:f>
        <x:v>BESOIN</x:v>
      </x:c>
      <x:c r="I44" s="31" t="str">
        <x:f>IF(I41&lt;0,"BESOIN","OK")</x:f>
        <x:v>OK</x:v>
      </x:c>
      <x:c r="J44" s="31" t="str">
        <x:f>IF(J41&lt;0,"BESOIN","OK")</x:f>
        <x:v>BESOIN</x:v>
      </x:c>
      <x:c r="K44" s="31" t="str">
        <x:f>IF(K41&lt;0,"BESOIN","OK")</x:f>
        <x:v>BESOIN</x:v>
      </x:c>
      <x:c r="L44" s="31" t="str">
        <x:f>IF(L41&lt;0,"BESOIN","OK")</x:f>
        <x:v>OK</x:v>
      </x:c>
      <x:c r="M44" s="31" t="str">
        <x:f>IF(M41&lt;0,"BESOIN","OK")</x:f>
        <x:v>OK</x:v>
      </x:c>
    </x:row>
    <x:row r="47" ht="44" customHeight="1">
      <x:c r="A47" s="58" t="str">
        <x:v>Contrôle effectué : les soldes calculés janvier-juin correspondent exactement à la somme des soldes bancaires réels. Les virements entre Crédit Agricole et Pennylane sont neutralisés. Les dépenses prévisionnelles juillet-décembre reprennent la moyenne mensuelle réelle par catégorie.</x:v>
      </x:c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</x:row>
  </x:sheetData>
  <x:mergeCells>
    <x:mergeCell ref="A1:M1"/>
    <x:mergeCell ref="A2:M2"/>
    <x:mergeCell ref="A47:M47"/>
  </x:mergeCells>
  <x:conditionalFormatting sqref="B41:M41">
    <x:cfRule type="expression" dxfId="0" priority="1">
      <x:formula>B41&lt;0</x:formula>
    </x:cfRule>
    <x:cfRule type="expression" dxfId="1" priority="2">
      <x:formula>B41&gt;=0</x:formula>
    </x:cfRule>
  </x:conditionalFormatting>
  <x:conditionalFormatting sqref="B43:G43">
    <x:cfRule type="expression" dxfId="2" priority="3">
      <x:formula>ABS(B43)&gt;0.01</x:formula>
    </x:cfRule>
  </x:conditionalFormatting>
  <x:pageMargins left="0.7" right="0.7" top="0.75" bottom="0.75" header="0.3" footer="0.3"/>
  <x:drawing xmlns:r="http://schemas.openxmlformats.org/officeDocument/2006/relationships" r:id="R52c9d45120514060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22" hidden="0" customWidth="1"/>
    <x:col min="5" max="5" width="72" hidden="0" customWidth="1"/>
  </x:cols>
  <x:sheetData>
    <x:row r="1" ht="27" customHeight="1">
      <x:c r="A1" s="5" t="str">
        <x:v>HYPOTHÈSES DU PRÉVISIONNEL DE TRÉSORERIE</x:v>
      </x:c>
      <x:c r="B1" s="5"/>
      <x:c r="C1" s="5"/>
      <x:c r="D1" s="5"/>
      <x:c r="E1" s="5"/>
    </x:row>
    <x:row r="3">
      <x:c r="A3" s="62" t="str">
        <x:v>Catégorie de décaissement</x:v>
      </x:c>
      <x:c r="B3" s="62" t="str">
        <x:v>Total constaté janvier-juin (€)</x:v>
      </x:c>
      <x:c r="C3" s="62" t="str">
        <x:v>Moyenne mensuelle (€)</x:v>
      </x:c>
      <x:c r="D3" s="62" t="str">
        <x:v>Prévision mensuelle retenue (€)</x:v>
      </x:c>
      <x:c r="E3" s="62" t="str">
        <x:v>Méthode / source</x:v>
      </x:c>
    </x:row>
    <x:row r="4">
      <x:c r="A4" s="63" t="str">
        <x:v>Salaires nets</x:v>
      </x:c>
      <x:c r="B4" s="64" t="n">
        <x:v>40748.94</x:v>
      </x:c>
      <x:c r="C4" s="64" t="n">
        <x:v>6791.49</x:v>
      </x:c>
      <x:c r="D4" s="65" t="n">
        <x:v>6791.49</x:v>
      </x:c>
      <x:c r="E4" s="63" t="str">
        <x:v>Moyenne des flux bancaires réels consolidés Crédit Agricole + Pennylane, janvier à juin 2026</x:v>
      </x:c>
    </x:row>
    <x:row r="5">
      <x:c r="A5" s="63" t="str">
        <x:v>Cotisations URSSAF</x:v>
      </x:c>
      <x:c r="B5" s="64" t="n">
        <x:v>11476</x:v>
      </x:c>
      <x:c r="C5" s="64" t="n">
        <x:v>1912.67</x:v>
      </x:c>
      <x:c r="D5" s="65" t="n">
        <x:v>1912.67</x:v>
      </x:c>
      <x:c r="E5" s="63" t="str">
        <x:v>Moyenne des flux bancaires réels consolidés Crédit Agricole + Pennylane, janvier à juin 2026</x:v>
      </x:c>
    </x:row>
    <x:row r="6">
      <x:c r="A6" s="63" t="str">
        <x:v>Mutuelle santé</x:v>
      </x:c>
      <x:c r="B6" s="64" t="n">
        <x:v>4014.78</x:v>
      </x:c>
      <x:c r="C6" s="64" t="n">
        <x:v>669.13</x:v>
      </x:c>
      <x:c r="D6" s="65" t="n">
        <x:v>669.13</x:v>
      </x:c>
      <x:c r="E6" s="63" t="str">
        <x:v>Moyenne des flux bancaires réels consolidés Crédit Agricole + Pennylane, janvier à juin 2026</x:v>
      </x:c>
    </x:row>
    <x:row r="7">
      <x:c r="A7" s="63" t="str">
        <x:v>Prélèvement à la source / impôts</x:v>
      </x:c>
      <x:c r="B7" s="64" t="n">
        <x:v>318</x:v>
      </x:c>
      <x:c r="C7" s="64" t="n">
        <x:v>53</x:v>
      </x:c>
      <x:c r="D7" s="65" t="n">
        <x:v>53</x:v>
      </x:c>
      <x:c r="E7" s="63" t="str">
        <x:v>Moyenne des flux bancaires réels consolidés Crédit Agricole + Pennylane, janvier à juin 2026</x:v>
      </x:c>
    </x:row>
    <x:row r="8">
      <x:c r="A8" s="63" t="str">
        <x:v>Retraite et prévoyance</x:v>
      </x:c>
      <x:c r="B8" s="64" t="n">
        <x:v>2854.56</x:v>
      </x:c>
      <x:c r="C8" s="64" t="n">
        <x:v>475.76</x:v>
      </x:c>
      <x:c r="D8" s="65" t="n">
        <x:v>475.76</x:v>
      </x:c>
      <x:c r="E8" s="63" t="str">
        <x:v>Moyenne des flux bancaires réels consolidés Crédit Agricole + Pennylane, janvier à juin 2026</x:v>
      </x:c>
    </x:row>
    <x:row r="9">
      <x:c r="A9" s="63" t="str">
        <x:v>Assurances</x:v>
      </x:c>
      <x:c r="B9" s="64" t="n">
        <x:v>1936.99</x:v>
      </x:c>
      <x:c r="C9" s="64" t="n">
        <x:v>322.83</x:v>
      </x:c>
      <x:c r="D9" s="65" t="n">
        <x:v>322.83</x:v>
      </x:c>
      <x:c r="E9" s="63" t="str">
        <x:v>Moyenne des flux bancaires réels consolidés Crédit Agricole + Pennylane, janvier à juin 2026</x:v>
      </x:c>
    </x:row>
    <x:row r="10">
      <x:c r="A10" s="63" t="str">
        <x:v>Électricité</x:v>
      </x:c>
      <x:c r="B10" s="64" t="n">
        <x:v>529.75</x:v>
      </x:c>
      <x:c r="C10" s="64" t="n">
        <x:v>88.29</x:v>
      </x:c>
      <x:c r="D10" s="65" t="n">
        <x:v>88.29</x:v>
      </x:c>
      <x:c r="E10" s="63" t="str">
        <x:v>Moyenne des flux bancaires réels consolidés Crédit Agricole + Pennylane, janvier à juin 2026</x:v>
      </x:c>
    </x:row>
    <x:row r="11">
      <x:c r="A11" s="63" t="str">
        <x:v>Télécommunications</x:v>
      </x:c>
      <x:c r="B11" s="64" t="n">
        <x:v>503.76</x:v>
      </x:c>
      <x:c r="C11" s="64" t="n">
        <x:v>83.96</x:v>
      </x:c>
      <x:c r="D11" s="65" t="n">
        <x:v>83.96</x:v>
      </x:c>
      <x:c r="E11" s="63" t="str">
        <x:v>Moyenne des flux bancaires réels consolidés Crédit Agricole + Pennylane, janvier à juin 2026</x:v>
      </x:c>
    </x:row>
    <x:row r="12">
      <x:c r="A12" s="63" t="str">
        <x:v>Expertise comptable</x:v>
      </x:c>
      <x:c r="B12" s="64" t="n">
        <x:v>3920.9</x:v>
      </x:c>
      <x:c r="C12" s="64" t="n">
        <x:v>653.48</x:v>
      </x:c>
      <x:c r="D12" s="65" t="n">
        <x:v>653.48</x:v>
      </x:c>
      <x:c r="E12" s="63" t="str">
        <x:v>Moyenne des flux bancaires réels consolidés Crédit Agricole + Pennylane, janvier à juin 2026</x:v>
      </x:c>
    </x:row>
    <x:row r="13">
      <x:c r="A13" s="63" t="str">
        <x:v>Prestations informatiques / Duthoo</x:v>
      </x:c>
      <x:c r="B13" s="64" t="n">
        <x:v>21600</x:v>
      </x:c>
      <x:c r="C13" s="64" t="n">
        <x:v>3600</x:v>
      </x:c>
      <x:c r="D13" s="65" t="n">
        <x:v>3600</x:v>
      </x:c>
      <x:c r="E13" s="63" t="str">
        <x:v>Moyenne des flux bancaires réels consolidés Crédit Agricole + Pennylane, janvier à juin 2026</x:v>
      </x:c>
    </x:row>
    <x:row r="14">
      <x:c r="A14" s="63" t="str">
        <x:v>Médecine du travail / frais de personnel</x:v>
      </x:c>
      <x:c r="B14" s="64" t="n">
        <x:v>898.8</x:v>
      </x:c>
      <x:c r="C14" s="64" t="n">
        <x:v>149.8</x:v>
      </x:c>
      <x:c r="D14" s="65" t="n">
        <x:v>149.8</x:v>
      </x:c>
      <x:c r="E14" s="63" t="str">
        <x:v>Moyenne des flux bancaires réels consolidés Crédit Agricole + Pennylane, janvier à juin 2026</x:v>
      </x:c>
    </x:row>
    <x:row r="15">
      <x:c r="A15" s="63" t="str">
        <x:v>Travaux et investissements</x:v>
      </x:c>
      <x:c r="B15" s="64" t="n">
        <x:v>8000</x:v>
      </x:c>
      <x:c r="C15" s="64" t="n">
        <x:v>1333.33</x:v>
      </x:c>
      <x:c r="D15" s="65" t="n">
        <x:v>1333.33</x:v>
      </x:c>
      <x:c r="E15" s="63" t="str">
        <x:v>Moyenne des flux bancaires réels consolidés Crédit Agricole + Pennylane, janvier à juin 2026</x:v>
      </x:c>
    </x:row>
    <x:row r="16">
      <x:c r="A16" s="63" t="str">
        <x:v>Autres prestataires et dépenses d'actions</x:v>
      </x:c>
      <x:c r="B16" s="64" t="n">
        <x:v>23327.02</x:v>
      </x:c>
      <x:c r="C16" s="64" t="n">
        <x:v>3887.84</x:v>
      </x:c>
      <x:c r="D16" s="65" t="n">
        <x:v>3887.84</x:v>
      </x:c>
      <x:c r="E16" s="63" t="str">
        <x:v>Moyenne des flux bancaires réels consolidés Crédit Agricole + Pennylane, janvier à juin 2026</x:v>
      </x:c>
    </x:row>
    <x:row r="17">
      <x:c r="A17" s="63" t="str">
        <x:v>Déplacements, hébergement et notes de frais</x:v>
      </x:c>
      <x:c r="B17" s="64" t="n">
        <x:v>1249.08</x:v>
      </x:c>
      <x:c r="C17" s="64" t="n">
        <x:v>208.18</x:v>
      </x:c>
      <x:c r="D17" s="65" t="n">
        <x:v>208.18</x:v>
      </x:c>
      <x:c r="E17" s="63" t="str">
        <x:v>Moyenne des flux bancaires réels consolidés Crédit Agricole + Pennylane, janvier à juin 2026</x:v>
      </x:c>
    </x:row>
    <x:row r="18">
      <x:c r="A18" s="63" t="str">
        <x:v>Communication, logiciels et abonnements</x:v>
      </x:c>
      <x:c r="B18" s="64" t="n">
        <x:v>2022.94</x:v>
      </x:c>
      <x:c r="C18" s="64" t="n">
        <x:v>337.16</x:v>
      </x:c>
      <x:c r="D18" s="65" t="n">
        <x:v>337.16</x:v>
      </x:c>
      <x:c r="E18" s="63" t="str">
        <x:v>Moyenne des flux bancaires réels consolidés Crédit Agricole + Pennylane, janvier à juin 2026</x:v>
      </x:c>
    </x:row>
    <x:row r="19">
      <x:c r="A19" s="63" t="str">
        <x:v>Achats, fournitures, restauration et événementiel</x:v>
      </x:c>
      <x:c r="B19" s="64" t="n">
        <x:v>2086.24</x:v>
      </x:c>
      <x:c r="C19" s="64" t="n">
        <x:v>347.71</x:v>
      </x:c>
      <x:c r="D19" s="65" t="n">
        <x:v>347.71</x:v>
      </x:c>
      <x:c r="E19" s="63" t="str">
        <x:v>Moyenne des flux bancaires réels consolidés Crédit Agricole + Pennylane, janvier à juin 2026</x:v>
      </x:c>
    </x:row>
    <x:row r="20">
      <x:c r="A20" s="63" t="str">
        <x:v>Frais bancaires et divers</x:v>
      </x:c>
      <x:c r="B20" s="64" t="n">
        <x:v>44.77</x:v>
      </x:c>
      <x:c r="C20" s="64" t="n">
        <x:v>7.46</x:v>
      </x:c>
      <x:c r="D20" s="65" t="n">
        <x:v>7.46</x:v>
      </x:c>
      <x:c r="E20" s="63" t="str">
        <x:v>Moyenne des flux bancaires réels consolidés Crédit Agricole + Pennylane, janvier à juin 2026</x:v>
      </x:c>
    </x:row>
    <x:row r="21">
      <x:c r="A21" s="63"/>
      <x:c r="B21" s="63"/>
      <x:c r="C21" s="63"/>
      <x:c r="D21" s="63"/>
      <x:c r="E21" s="63"/>
    </x:row>
    <x:row r="22">
      <x:c r="A22" s="63"/>
      <x:c r="B22" s="63"/>
      <x:c r="C22" s="63"/>
      <x:c r="D22" s="63"/>
      <x:c r="E22" s="63"/>
    </x:row>
    <x:row r="23">
      <x:c r="A23" s="63"/>
      <x:c r="B23" s="63"/>
      <x:c r="C23" s="63"/>
      <x:c r="D23" s="63"/>
      <x:c r="E23" s="63"/>
    </x:row>
    <x:row r="24">
      <x:c r="A24" s="62" t="str">
        <x:v>Encaissement prévisionnel</x:v>
      </x:c>
      <x:c r="B24" s="62" t="str">
        <x:v>Montant (€)</x:v>
      </x:c>
      <x:c r="C24" s="62" t="str">
        <x:v>Mois prévu</x:v>
      </x:c>
      <x:c r="D24" s="62" t="str">
        <x:v>Source communiquée</x:v>
      </x:c>
      <x:c r="E24" s="63"/>
    </x:row>
    <x:row r="25">
      <x:c r="A25" s="63" t="str">
        <x:v>FSE</x:v>
      </x:c>
      <x:c r="B25" s="65" t="n">
        <x:v>46000</x:v>
      </x:c>
      <x:c r="C25" s="63" t="str">
        <x:v>Août 2026</x:v>
      </x:c>
      <x:c r="D25" s="63" t="str">
        <x:v>Information communiquée par le Tiers-Lieu</x:v>
      </x:c>
      <x:c r="E25" s="63"/>
    </x:row>
    <x:row r="26">
      <x:c r="A26" s="63" t="str">
        <x:v>Fondation de France</x:v>
      </x:c>
      <x:c r="B26" s="65" t="n">
        <x:v>15000</x:v>
      </x:c>
      <x:c r="C26" s="63" t="str">
        <x:v>Septembre 2026</x:v>
      </x:c>
      <x:c r="D26" s="63" t="str">
        <x:v>Information communiquée par le Tiers-Lieu</x:v>
      </x:c>
      <x:c r="E26" s="63"/>
    </x:row>
    <x:row r="27">
      <x:c r="A27" s="63" t="str">
        <x:v>ADEME</x:v>
      </x:c>
      <x:c r="B27" s="65" t="n">
        <x:v>9000</x:v>
      </x:c>
      <x:c r="C27" s="63" t="str">
        <x:v>Octobre 2026</x:v>
      </x:c>
      <x:c r="D27" s="63" t="str">
        <x:v>Information communiquée par le Tiers-Lieu</x:v>
      </x:c>
      <x:c r="E27" s="63"/>
    </x:row>
    <x:row r="28">
      <x:c r="A28" s="63" t="str">
        <x:v>DREETS</x:v>
      </x:c>
      <x:c r="B28" s="65" t="n">
        <x:v>10000</x:v>
      </x:c>
      <x:c r="C28" s="63" t="str">
        <x:v>Octobre 2026</x:v>
      </x:c>
      <x:c r="D28" s="63" t="str">
        <x:v>Information communiquée par le Tiers-Lieu</x:v>
      </x:c>
      <x:c r="E28" s="63"/>
    </x:row>
    <x:row r="29">
      <x:c r="A29" s="63" t="str">
        <x:v>FSE</x:v>
      </x:c>
      <x:c r="B29" s="65" t="n">
        <x:v>46000</x:v>
      </x:c>
      <x:c r="C29" s="63" t="str">
        <x:v>Novembre 2026</x:v>
      </x:c>
      <x:c r="D29" s="63" t="str">
        <x:v>Information communiquée par le Tiers-Lieu</x:v>
      </x:c>
      <x:c r="E29" s="63"/>
    </x:row>
    <x:row r="30">
      <x:c r="A30" s="63" t="str">
        <x:v>DREETS</x:v>
      </x:c>
      <x:c r="B30" s="65" t="n">
        <x:v>15000</x:v>
      </x:c>
      <x:c r="C30" s="63" t="str">
        <x:v>Décembre 2026</x:v>
      </x:c>
      <x:c r="D30" s="63" t="str">
        <x:v>Information communiquée par le Tiers-Lieu</x:v>
      </x:c>
      <x:c r="E30" s="63"/>
    </x:row>
    <x:row r="31">
      <x:c r="A31" s="63" t="str">
        <x:v>État</x:v>
      </x:c>
      <x:c r="B31" s="65" t="n">
        <x:v>10000</x:v>
      </x:c>
      <x:c r="C31" s="63" t="str">
        <x:v>Décembre 2026</x:v>
      </x:c>
      <x:c r="D31" s="63" t="str">
        <x:v>Information communiquée par le Tiers-Lieu</x:v>
      </x:c>
      <x:c r="E31" s="63"/>
    </x:row>
    <x:row r="32">
      <x:c r="A32" s="63"/>
      <x:c r="B32" s="63"/>
      <x:c r="C32" s="63"/>
      <x:c r="D32" s="63"/>
      <x:c r="E32" s="63"/>
    </x:row>
    <x:row r="33">
      <x:c r="A33" s="63"/>
      <x:c r="B33" s="63"/>
      <x:c r="C33" s="63"/>
      <x:c r="D33" s="63"/>
      <x:c r="E33" s="63"/>
    </x:row>
    <x:row r="34">
      <x:c r="A34" s="63" t="str">
        <x:v>Point de vigilance</x:v>
      </x:c>
      <x:c r="B34" s="63" t="str">
        <x:v>Traitement retenu</x:v>
      </x:c>
      <x:c r="C34" s="63" t="str"/>
      <x:c r="D34" s="63" t="str"/>
      <x:c r="E34" s="63" t="str"/>
    </x:row>
    <x:row r="35">
      <x:c r="A35" s="63" t="str">
        <x:v>Virement de 3 000 € reçu le 12/02 sur Pennylane</x:v>
      </x:c>
      <x:c r="B35" s="63" t="str">
        <x:v>Classé en « Autres encaissements / apports » car aucun débit correspondant n'apparaît sur le compte Crédit Agricole.</x:v>
      </x:c>
      <x:c r="C35" s="63" t="str"/>
      <x:c r="D35" s="63" t="str"/>
      <x:c r="E35" s="63" t="str"/>
    </x:row>
    <x:row r="36">
      <x:c r="A36" s="63" t="str">
        <x:v>Prévision des dépenses juillet-décembre</x:v>
      </x:c>
      <x:c r="B36" s="63" t="str">
        <x:v>Reprise de la moyenne mensuelle exacte des décaissements externes constatés de janvier à juin.</x:v>
      </x:c>
      <x:c r="C36" s="63" t="str"/>
      <x:c r="D36" s="63" t="str"/>
      <x:c r="E36" s="63" t="str"/>
    </x:row>
    <x:row r="37">
      <x:c r="A37" s="77" t="str">
        <x:v>Décalage de paie constaté</x:v>
      </x:c>
      <x:c r="B37" s="77" t="str">
        <x:v>Aucun salaire n'est débité en mai ; des salaires sont débités le 29 avril, puis deux séries le 1er et le 30 juin. La moyenne sur six mois lisse ce décalage de paiement.</x:v>
      </x:c>
      <x:c r="C37" s="77" t="str"/>
      <x:c r="D37" s="77" t="str"/>
      <x:c r="E37" s="77" t="str"/>
    </x:row>
    <x:row r="38">
      <x:c r="A38" s="77" t="str">
        <x:v>Besoin maximum prévisionnel</x:v>
      </x:c>
      <x:c r="B38" s="77" t="str">
        <x:v>19 185,15 € à fin juillet 2026, avant le versement FSE prévu début août.</x:v>
      </x:c>
      <x:c r="C38" s="77" t="str"/>
      <x:c r="D38" s="77" t="str"/>
      <x:c r="E38" s="77" t="str"/>
    </x:row>
    <x:row r="39">
      <x:c r="A39" s="77" t="str">
        <x:v>Autres tensions prévisionnelles</x:v>
      </x:c>
      <x:c r="B39" s="77" t="str">
        <x:v>Solde légèrement négatif à fin septembre (-29,33 €) et fin octobre (-1 951,42 €), avant le second versement FSE de novembre.</x:v>
      </x:c>
      <x:c r="C39" s="77" t="str"/>
      <x:c r="D39" s="77" t="str"/>
      <x:c r="E39" s="77" t="str"/>
    </x:row>
    <x:row r="40">
      <x:c r="A40" s="63"/>
      <x:c r="B40" s="63"/>
      <x:c r="C40" s="63"/>
      <x:c r="D40" s="63"/>
      <x:c r="E40" s="63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7" customHeight="1">
      <x:c r="A1" s="5" t="str">
        <x:v>RÉCONCILIATION DES RELEVÉS BANCAIRES – JANVIER À JUIN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3">
      <x:c r="A3" s="62" t="str">
        <x:v>Mois</x:v>
      </x:c>
      <x:c r="B3" s="62" t="str">
        <x:v>CA ouverture</x:v>
      </x:c>
      <x:c r="C3" s="62" t="str">
        <x:v>CA crédits</x:v>
      </x:c>
      <x:c r="D3" s="62" t="str">
        <x:v>CA débits</x:v>
      </x:c>
      <x:c r="E3" s="62" t="str">
        <x:v>CA clôture calculée</x:v>
      </x:c>
      <x:c r="F3" s="62" t="str">
        <x:v>CA clôture relevé</x:v>
      </x:c>
      <x:c r="G3" s="62" t="str">
        <x:v>Écart CA</x:v>
      </x:c>
      <x:c r="H3" s="62" t="str">
        <x:v>Pennylane ouverture</x:v>
      </x:c>
      <x:c r="I3" s="62" t="str">
        <x:v>Pennylane crédits</x:v>
      </x:c>
      <x:c r="J3" s="62" t="str">
        <x:v>Pennylane débits</x:v>
      </x:c>
      <x:c r="K3" s="62" t="str">
        <x:v>Pennylane clôture calculée</x:v>
      </x:c>
      <x:c r="L3" s="62" t="str">
        <x:v>Pennylane clôture relevé</x:v>
      </x:c>
      <x:c r="M3" s="62" t="str">
        <x:v>Écart Pennylane</x:v>
      </x:c>
    </x:row>
    <x:row r="4">
      <x:c r="A4" s="63" t="str">
        <x:v>Janvier 2026</x:v>
      </x:c>
      <x:c r="B4" s="64" t="n">
        <x:v>100090.36</x:v>
      </x:c>
      <x:c r="C4" s="64" t="n">
        <x:v>0.07</x:v>
      </x:c>
      <x:c r="D4" s="64" t="n">
        <x:v>29757.55</x:v>
      </x:c>
      <x:c r="E4" s="64" t="n">
        <x:f>ROUND(B4+C4-D4,2)</x:f>
        <x:v>70332.88</x:v>
      </x:c>
      <x:c r="F4" s="64" t="n">
        <x:v>70332.88</x:v>
      </x:c>
      <x:c r="G4" s="64" t="n">
        <x:f>ROUND(E4-F4,2)</x:f>
        <x:v>0</x:v>
      </x:c>
      <x:c r="H4" s="64" t="n">
        <x:v>12768.91</x:v>
      </x:c>
      <x:c r="I4" s="64" t="n">
        <x:v>25641.74</x:v>
      </x:c>
      <x:c r="J4" s="64" t="n">
        <x:v>31337.51</x:v>
      </x:c>
      <x:c r="K4" s="64" t="n">
        <x:f>ROUND(H4+I4-J4,2)</x:f>
        <x:v>7073.14</x:v>
      </x:c>
      <x:c r="L4" s="64" t="n">
        <x:v>7073.14</x:v>
      </x:c>
      <x:c r="M4" s="64" t="n">
        <x:f>ROUND(K4-L4,2)</x:f>
        <x:v>0</x:v>
      </x:c>
    </x:row>
    <x:row r="5">
      <x:c r="A5" s="63" t="str">
        <x:v>Février 2026</x:v>
      </x:c>
      <x:c r="B5" s="64" t="n">
        <x:v>70332.88</x:v>
      </x:c>
      <x:c r="C5" s="64" t="n">
        <x:v>1051.74</x:v>
      </x:c>
      <x:c r="D5" s="64" t="n">
        <x:v>13015.27</x:v>
      </x:c>
      <x:c r="E5" s="64" t="n">
        <x:f>ROUND(B5+C5-D5,2)</x:f>
        <x:v>58369.35</x:v>
      </x:c>
      <x:c r="F5" s="64" t="n">
        <x:v>58369.35</x:v>
      </x:c>
      <x:c r="G5" s="64" t="n">
        <x:f>ROUND(E5-F5,2)</x:f>
        <x:v>0</x:v>
      </x:c>
      <x:c r="H5" s="64" t="n">
        <x:v>7073.14</x:v>
      </x:c>
      <x:c r="I5" s="64" t="n">
        <x:v>12000</x:v>
      </x:c>
      <x:c r="J5" s="64" t="n">
        <x:v>8887.71</x:v>
      </x:c>
      <x:c r="K5" s="64" t="n">
        <x:f>ROUND(H5+I5-J5,2)</x:f>
        <x:v>10185.43</x:v>
      </x:c>
      <x:c r="L5" s="64" t="n">
        <x:v>10185.43</x:v>
      </x:c>
      <x:c r="M5" s="64" t="n">
        <x:f>ROUND(K5-L5,2)</x:f>
        <x:v>0</x:v>
      </x:c>
    </x:row>
    <x:row r="6">
      <x:c r="A6" s="63" t="str">
        <x:v>Mars 2026</x:v>
      </x:c>
      <x:c r="B6" s="64" t="n">
        <x:v>58369.35</x:v>
      </x:c>
      <x:c r="C6" s="64" t="n">
        <x:v>8553.87</x:v>
      </x:c>
      <x:c r="D6" s="64" t="n">
        <x:v>14215.05</x:v>
      </x:c>
      <x:c r="E6" s="64" t="n">
        <x:f>ROUND(B6+C6-D6,2)</x:f>
        <x:v>52708.17</x:v>
      </x:c>
      <x:c r="F6" s="64" t="n">
        <x:v>52708.17</x:v>
      </x:c>
      <x:c r="G6" s="64" t="n">
        <x:f>ROUND(E6-F6,2)</x:f>
        <x:v>0</x:v>
      </x:c>
      <x:c r="H6" s="64" t="n">
        <x:v>10185.43</x:v>
      </x:c>
      <x:c r="I6" s="64" t="n">
        <x:v>12000</x:v>
      </x:c>
      <x:c r="J6" s="64" t="n">
        <x:v>16651.98</x:v>
      </x:c>
      <x:c r="K6" s="64" t="n">
        <x:f>ROUND(H6+I6-J6,2)</x:f>
        <x:v>5533.45</x:v>
      </x:c>
      <x:c r="L6" s="64" t="n">
        <x:v>5533.45</x:v>
      </x:c>
      <x:c r="M6" s="64" t="n">
        <x:f>ROUND(K6-L6,2)</x:f>
        <x:v>0</x:v>
      </x:c>
    </x:row>
    <x:row r="7">
      <x:c r="A7" s="63" t="str">
        <x:v>Avril 2026</x:v>
      </x:c>
      <x:c r="B7" s="64" t="n">
        <x:v>52708.17</x:v>
      </x:c>
      <x:c r="C7" s="64" t="n">
        <x:v>847.5</x:v>
      </x:c>
      <x:c r="D7" s="64" t="n">
        <x:v>22917.87</x:v>
      </x:c>
      <x:c r="E7" s="64" t="n">
        <x:f>ROUND(B7+C7-D7,2)</x:f>
        <x:v>30637.8</x:v>
      </x:c>
      <x:c r="F7" s="64" t="n">
        <x:v>30637.8</x:v>
      </x:c>
      <x:c r="G7" s="64" t="n">
        <x:f>ROUND(E7-F7,2)</x:f>
        <x:v>0</x:v>
      </x:c>
      <x:c r="H7" s="64" t="n">
        <x:v>5533.45</x:v>
      </x:c>
      <x:c r="I7" s="64" t="n">
        <x:v>20028.79</x:v>
      </x:c>
      <x:c r="J7" s="64" t="n">
        <x:v>20330.16</x:v>
      </x:c>
      <x:c r="K7" s="64" t="n">
        <x:f>ROUND(H7+I7-J7,2)</x:f>
        <x:v>5232.08</x:v>
      </x:c>
      <x:c r="L7" s="64" t="n">
        <x:v>5232.08</x:v>
      </x:c>
      <x:c r="M7" s="64" t="n">
        <x:f>ROUND(K7-L7,2)</x:f>
        <x:v>0</x:v>
      </x:c>
    </x:row>
    <x:row r="8">
      <x:c r="A8" s="63" t="str">
        <x:v>Mai 2026</x:v>
      </x:c>
      <x:c r="B8" s="64" t="n">
        <x:v>30637.8</x:v>
      </x:c>
      <x:c r="C8" s="64" t="n">
        <x:v>84.69</x:v>
      </x:c>
      <x:c r="D8" s="64" t="n">
        <x:v>17494.66</x:v>
      </x:c>
      <x:c r="E8" s="64" t="n">
        <x:f>ROUND(B8+C8-D8,2)</x:f>
        <x:v>13227.83</x:v>
      </x:c>
      <x:c r="F8" s="64" t="n">
        <x:v>13227.83</x:v>
      </x:c>
      <x:c r="G8" s="64" t="n">
        <x:f>ROUND(E8-F8,2)</x:f>
        <x:v>0</x:v>
      </x:c>
      <x:c r="H8" s="64" t="n">
        <x:v>5232.08</x:v>
      </x:c>
      <x:c r="I8" s="64" t="n">
        <x:v>14161.8</x:v>
      </x:c>
      <x:c r="J8" s="64" t="n">
        <x:v>8887.05</x:v>
      </x:c>
      <x:c r="K8" s="64" t="n">
        <x:f>ROUND(H8+I8-J8,2)</x:f>
        <x:v>10506.83</x:v>
      </x:c>
      <x:c r="L8" s="64" t="n">
        <x:v>10506.83</x:v>
      </x:c>
      <x:c r="M8" s="64" t="n">
        <x:f>ROUND(K8-L8,2)</x:f>
        <x:v>0</x:v>
      </x:c>
    </x:row>
    <x:row r="9">
      <x:c r="A9" s="63" t="str">
        <x:v>Juin 2026</x:v>
      </x:c>
      <x:c r="B9" s="64" t="n">
        <x:v>13227.83</x:v>
      </x:c>
      <x:c r="C9" s="64" t="n">
        <x:v>0</x:v>
      </x:c>
      <x:c r="D9" s="64" t="n">
        <x:v>12581.47</x:v>
      </x:c>
      <x:c r="E9" s="64" t="n">
        <x:f>ROUND(B9+C9-D9,2)</x:f>
        <x:v>646.36</x:v>
      </x:c>
      <x:c r="F9" s="64" t="n">
        <x:v>646.36</x:v>
      </x:c>
      <x:c r="G9" s="64" t="n">
        <x:f>ROUND(E9-F9,2)</x:f>
        <x:v>0</x:v>
      </x:c>
      <x:c r="H9" s="64" t="n">
        <x:v>10506.83</x:v>
      </x:c>
      <x:c r="I9" s="64" t="n">
        <x:v>8540</x:v>
      </x:c>
      <x:c r="J9" s="64" t="n">
        <x:v>17956.25</x:v>
      </x:c>
      <x:c r="K9" s="64" t="n">
        <x:f>ROUND(H9+I9-J9,2)</x:f>
        <x:v>1090.58</x:v>
      </x:c>
      <x:c r="L9" s="64" t="n">
        <x:v>1090.58</x:v>
      </x:c>
      <x:c r="M9" s="64" t="n">
        <x:f>ROUND(K9-L9,2)</x:f>
        <x:v>0</x:v>
      </x:c>
    </x:row>
    <x:row r="10">
      <x:c r="A10" s="63"/>
      <x:c r="B10" s="64"/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</x:row>
    <x:row r="11">
      <x:c r="A11" s="63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</x:row>
    <x:row r="12">
      <x:c r="A12" s="62" t="str">
        <x:v>Mois</x:v>
      </x:c>
      <x:c r="B12" s="70" t="str">
        <x:v>Trésorerie consolidée ouverture</x:v>
      </x:c>
      <x:c r="C12" s="70" t="str">
        <x:v>Encaissements externes</x:v>
      </x:c>
      <x:c r="D12" s="70" t="str">
        <x:v>Décaissements externes</x:v>
      </x:c>
      <x:c r="E12" s="70" t="str">
        <x:v>Virements internes sortants CA</x:v>
      </x:c>
      <x:c r="F12" s="70" t="str">
        <x:v>Virements internes entrants Pennylane</x:v>
      </x:c>
      <x:c r="G12" s="70" t="str">
        <x:v>Écart virements internes</x:v>
      </x:c>
      <x:c r="H12" s="70" t="str">
        <x:v>Clôture consolidée calculée</x:v>
      </x:c>
      <x:c r="I12" s="70" t="str">
        <x:v>Clôture consolidée réelle</x:v>
      </x:c>
      <x:c r="J12" s="70" t="str">
        <x:v>Écart consolidé</x:v>
      </x:c>
      <x:c r="K12" s="64"/>
      <x:c r="L12" s="64"/>
      <x:c r="M12" s="64"/>
    </x:row>
    <x:row r="13">
      <x:c r="A13" s="63" t="str">
        <x:v>Janvier 2026</x:v>
      </x:c>
      <x:c r="B13" s="64" t="n">
        <x:v>112859.27</x:v>
      </x:c>
      <x:c r="C13" s="64" t="n">
        <x:v>641.81</x:v>
      </x:c>
      <x:c r="D13" s="64" t="n">
        <x:v>36095.06</x:v>
      </x:c>
      <x:c r="E13" s="64" t="n">
        <x:v>25000</x:v>
      </x:c>
      <x:c r="F13" s="64" t="n">
        <x:v>25000</x:v>
      </x:c>
      <x:c r="G13" s="64" t="n">
        <x:f>ROUND(E13-F13,2)</x:f>
        <x:v>0</x:v>
      </x:c>
      <x:c r="H13" s="64" t="n">
        <x:f>ROUND(B13+C13-D13,2)</x:f>
        <x:v>77406.02</x:v>
      </x:c>
      <x:c r="I13" s="64" t="n">
        <x:v>77406.02</x:v>
      </x:c>
      <x:c r="J13" s="64" t="n">
        <x:f>ROUND(H13-I13,2)</x:f>
        <x:v>0</x:v>
      </x:c>
      <x:c r="K13" s="64"/>
      <x:c r="L13" s="64"/>
      <x:c r="M13" s="64"/>
    </x:row>
    <x:row r="14">
      <x:c r="A14" s="63" t="str">
        <x:v>Février 2026</x:v>
      </x:c>
      <x:c r="B14" s="64" t="n">
        <x:v>77406.02</x:v>
      </x:c>
      <x:c r="C14" s="64" t="n">
        <x:v>4051.74</x:v>
      </x:c>
      <x:c r="D14" s="64" t="n">
        <x:v>12902.98</x:v>
      </x:c>
      <x:c r="E14" s="64" t="n">
        <x:v>9000</x:v>
      </x:c>
      <x:c r="F14" s="64" t="n">
        <x:v>9000</x:v>
      </x:c>
      <x:c r="G14" s="64" t="n">
        <x:f>ROUND(E14-F14,2)</x:f>
        <x:v>0</x:v>
      </x:c>
      <x:c r="H14" s="64" t="n">
        <x:f>ROUND(B14+C14-D14,2)</x:f>
        <x:v>68554.78</x:v>
      </x:c>
      <x:c r="I14" s="64" t="n">
        <x:v>68554.78</x:v>
      </x:c>
      <x:c r="J14" s="64" t="n">
        <x:f>ROUND(H14-I14,2)</x:f>
        <x:v>0</x:v>
      </x:c>
      <x:c r="K14" s="64"/>
      <x:c r="L14" s="64"/>
      <x:c r="M14" s="64"/>
    </x:row>
    <x:row r="15">
      <x:c r="A15" s="63" t="str">
        <x:v>Mars 2026</x:v>
      </x:c>
      <x:c r="B15" s="64" t="n">
        <x:v>68554.78</x:v>
      </x:c>
      <x:c r="C15" s="64" t="n">
        <x:v>8553.87</x:v>
      </x:c>
      <x:c r="D15" s="64" t="n">
        <x:v>18867.03</x:v>
      </x:c>
      <x:c r="E15" s="64" t="n">
        <x:v>12000</x:v>
      </x:c>
      <x:c r="F15" s="64" t="n">
        <x:v>12000</x:v>
      </x:c>
      <x:c r="G15" s="64" t="n">
        <x:f>ROUND(E15-F15,2)</x:f>
        <x:v>0</x:v>
      </x:c>
      <x:c r="H15" s="64" t="n">
        <x:f>ROUND(B15+C15-D15,2)</x:f>
        <x:v>58241.62</x:v>
      </x:c>
      <x:c r="I15" s="64" t="n">
        <x:v>58241.62</x:v>
      </x:c>
      <x:c r="J15" s="64" t="n">
        <x:f>ROUND(H15-I15,2)</x:f>
        <x:v>0</x:v>
      </x:c>
      <x:c r="K15" s="64"/>
      <x:c r="L15" s="64"/>
      <x:c r="M15" s="64"/>
    </x:row>
    <x:row r="16">
      <x:c r="A16" s="63" t="str">
        <x:v>Avril 2026</x:v>
      </x:c>
      <x:c r="B16" s="64" t="n">
        <x:v>58241.62</x:v>
      </x:c>
      <x:c r="C16" s="64" t="n">
        <x:v>876.29</x:v>
      </x:c>
      <x:c r="D16" s="64" t="n">
        <x:v>23248.03</x:v>
      </x:c>
      <x:c r="E16" s="64" t="n">
        <x:v>20000</x:v>
      </x:c>
      <x:c r="F16" s="64" t="n">
        <x:v>20000</x:v>
      </x:c>
      <x:c r="G16" s="64" t="n">
        <x:f>ROUND(E16-F16,2)</x:f>
        <x:v>0</x:v>
      </x:c>
      <x:c r="H16" s="64" t="n">
        <x:f>ROUND(B16+C16-D16,2)</x:f>
        <x:v>35869.88</x:v>
      </x:c>
      <x:c r="I16" s="64" t="n">
        <x:v>35869.88</x:v>
      </x:c>
      <x:c r="J16" s="64" t="n">
        <x:f>ROUND(H16-I16,2)</x:f>
        <x:v>0</x:v>
      </x:c>
      <x:c r="K16" s="64"/>
      <x:c r="L16" s="64"/>
      <x:c r="M16" s="64"/>
    </x:row>
    <x:row r="17">
      <x:c r="A17" s="63" t="str">
        <x:v>Mai 2026</x:v>
      </x:c>
      <x:c r="B17" s="64" t="n">
        <x:v>35869.88</x:v>
      </x:c>
      <x:c r="C17" s="64" t="n">
        <x:v>246.49</x:v>
      </x:c>
      <x:c r="D17" s="64" t="n">
        <x:v>12381.71</x:v>
      </x:c>
      <x:c r="E17" s="64" t="n">
        <x:v>14000</x:v>
      </x:c>
      <x:c r="F17" s="64" t="n">
        <x:v>14000</x:v>
      </x:c>
      <x:c r="G17" s="64" t="n">
        <x:f>ROUND(E17-F17,2)</x:f>
        <x:v>0</x:v>
      </x:c>
      <x:c r="H17" s="64" t="n">
        <x:f>ROUND(B17+C17-D17,2)</x:f>
        <x:v>23734.66</x:v>
      </x:c>
      <x:c r="I17" s="64" t="n">
        <x:v>23734.66</x:v>
      </x:c>
      <x:c r="J17" s="64" t="n">
        <x:f>ROUND(H17-I17,2)</x:f>
        <x:v>0</x:v>
      </x:c>
      <x:c r="K17" s="64"/>
      <x:c r="L17" s="64"/>
      <x:c r="M17" s="64"/>
    </x:row>
    <x:row r="18">
      <x:c r="A18" s="63" t="str">
        <x:v>Juin 2026</x:v>
      </x:c>
      <x:c r="B18" s="64" t="n">
        <x:v>23734.66</x:v>
      </x:c>
      <x:c r="C18" s="64" t="n">
        <x:v>40</x:v>
      </x:c>
      <x:c r="D18" s="64" t="n">
        <x:v>22037.72</x:v>
      </x:c>
      <x:c r="E18" s="64" t="n">
        <x:v>8500</x:v>
      </x:c>
      <x:c r="F18" s="64" t="n">
        <x:v>8500</x:v>
      </x:c>
      <x:c r="G18" s="64" t="n">
        <x:f>ROUND(E18-F18,2)</x:f>
        <x:v>0</x:v>
      </x:c>
      <x:c r="H18" s="64" t="n">
        <x:f>ROUND(B18+C18-D18,2)</x:f>
        <x:v>1736.94</x:v>
      </x:c>
      <x:c r="I18" s="64" t="n">
        <x:v>1736.94</x:v>
      </x:c>
      <x:c r="J18" s="64" t="n">
        <x:f>ROUND(H18-I18,2)</x:f>
        <x:v>0</x:v>
      </x:c>
      <x:c r="K18" s="64"/>
      <x:c r="L18" s="64"/>
      <x:c r="M18" s="64"/>
    </x:row>
  </x:sheetData>
  <x:mergeCells>
    <x:mergeCell ref="A1:M1"/>
  </x:mergeCells>
  <x:conditionalFormatting sqref="G4:G9">
    <x:cfRule type="expression" dxfId="3" priority="1">
      <x:formula>ABS(G4)&gt;0.01</x:formula>
    </x:cfRule>
  </x:conditionalFormatting>
  <x:conditionalFormatting sqref="M4:M9">
    <x:cfRule type="expression" dxfId="4" priority="2">
      <x:formula>ABS(M4)&gt;0.01</x:formula>
    </x:cfRule>
  </x:conditionalFormatting>
  <x:conditionalFormatting sqref="G13:G18">
    <x:cfRule type="expression" dxfId="5" priority="3">
      <x:formula>ABS(G13)&gt;0.01</x:formula>
    </x:cfRule>
  </x:conditionalFormatting>
  <x:conditionalFormatting sqref="J13:J18">
    <x:cfRule type="expression" dxfId="6" priority="4">
      <x:formula>ABS(J13)&gt;0.01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18" hidden="0" customWidth="1"/>
    <x:col min="5" max="5" width="60" hidden="0" customWidth="1"/>
    <x:col min="6" max="6" width="23" hidden="0" customWidth="1"/>
    <x:col min="7" max="7" width="23" hidden="0" customWidth="1"/>
    <x:col min="8" max="8" width="45" hidden="0" customWidth="1"/>
    <x:col min="9" max="9" width="17" hidden="0" customWidth="1"/>
    <x:col min="10" max="10" width="17" hidden="0" customWidth="1"/>
    <x:col min="11" max="11" width="44" hidden="0" customWidth="1"/>
  </x:cols>
  <x:sheetData>
    <x:row r="1" ht="27" customHeight="1">
      <x:c r="A1" s="5" t="str">
        <x:v>DÉTAIL DES MOUVEMENTS BANCAIRES – JANVIER À JUIN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62" t="str">
        <x:v>Date</x:v>
      </x:c>
      <x:c r="B3" s="62" t="str">
        <x:v>Mois</x:v>
      </x:c>
      <x:c r="C3" s="62" t="str">
        <x:v>Compte</x:v>
      </x:c>
      <x:c r="D3" s="62" t="str">
        <x:v>Type</x:v>
      </x:c>
      <x:c r="E3" s="62" t="str">
        <x:v>Libellé</x:v>
      </x:c>
      <x:c r="F3" s="62" t="str">
        <x:v>Interne ?</x:v>
      </x:c>
      <x:c r="G3" s="62" t="str">
        <x:v>Nature</x:v>
      </x:c>
      <x:c r="H3" s="62" t="str">
        <x:v>Catégorie</x:v>
      </x:c>
      <x:c r="I3" s="62" t="str">
        <x:v>Encaissement (€)</x:v>
      </x:c>
      <x:c r="J3" s="62" t="str">
        <x:v>Décaissement (€)</x:v>
      </x:c>
      <x:c r="K3" s="62" t="str">
        <x:v>Source</x:v>
      </x:c>
    </x:row>
    <x:row r="4">
      <x:c r="A4" s="74" t="n">
        <x:v>46023</x:v>
      </x:c>
      <x:c r="B4" s="63" t="str">
        <x:v>Janvier</x:v>
      </x:c>
      <x:c r="C4" s="63" t="str">
        <x:v>Pennylane</x:v>
      </x:c>
      <x:c r="D4" s="63" t="str">
        <x:v>Carte</x:v>
      </x:c>
      <x:c r="E4" s="63" t="str">
        <x:v>Pennylane - Gael Mallet **5345</x:v>
      </x:c>
      <x:c r="F4" s="63" t="str">
        <x:v>Non</x:v>
      </x:c>
      <x:c r="G4" s="63" t="str">
        <x:v>Décaissement externe</x:v>
      </x:c>
      <x:c r="H4" s="63" t="str">
        <x:v>Communication, logiciels et abonnements</x:v>
      </x:c>
      <x:c r="I4" s="64" t="n">
        <x:v>0</x:v>
      </x:c>
      <x:c r="J4" s="64" t="n">
        <x:v>94.8</x:v>
      </x:c>
      <x:c r="K4" s="63" t="str">
        <x:v>ReleveCompte_Pennylane_janvier_2026.pdf</x:v>
      </x:c>
    </x:row>
    <x:row r="5">
      <x:c r="A5" s="74" t="n">
        <x:v>46024</x:v>
      </x:c>
      <x:c r="B5" s="63" t="str">
        <x:v>Janvier</x:v>
      </x:c>
      <x:c r="C5" s="63" t="str">
        <x:v>Pennylane</x:v>
      </x:c>
      <x:c r="D5" s="63" t="str">
        <x:v>Virement</x:v>
      </x:c>
      <x:c r="E5" s="63" t="str">
        <x:v>003 VANLAER CLEMENTINE TIERSLIEU DU SUD TOURAINE</x:v>
      </x:c>
      <x:c r="F5" s="63" t="str">
        <x:v>Non</x:v>
      </x:c>
      <x:c r="G5" s="63" t="str">
        <x:v>Décaissement externe</x:v>
      </x:c>
      <x:c r="H5" s="63" t="str">
        <x:v>Salaires nets</x:v>
      </x:c>
      <x:c r="I5" s="64" t="n">
        <x:v>0</x:v>
      </x:c>
      <x:c r="J5" s="64" t="n">
        <x:v>2067.63</x:v>
      </x:c>
      <x:c r="K5" s="63" t="str">
        <x:v>ReleveCompte_Pennylane_janvier_2026.pdf</x:v>
      </x:c>
    </x:row>
    <x:row r="6">
      <x:c r="A6" s="74" t="n">
        <x:v>46024</x:v>
      </x:c>
      <x:c r="B6" s="63" t="str">
        <x:v>Janvier</x:v>
      </x:c>
      <x:c r="C6" s="63" t="str">
        <x:v>Pennylane</x:v>
      </x:c>
      <x:c r="D6" s="63" t="str">
        <x:v>Virement</x:v>
      </x:c>
      <x:c r="E6" s="63" t="str">
        <x:v>176033713201728 CLEMENT MICKAEL TIERSLIEU DU SUD TOURAINE</x:v>
      </x:c>
      <x:c r="F6" s="63" t="str">
        <x:v>Non</x:v>
      </x:c>
      <x:c r="G6" s="63" t="str">
        <x:v>Décaissement externe</x:v>
      </x:c>
      <x:c r="H6" s="63" t="str">
        <x:v>Salaires nets</x:v>
      </x:c>
      <x:c r="I6" s="64" t="n">
        <x:v>0</x:v>
      </x:c>
      <x:c r="J6" s="64" t="n">
        <x:v>906.86</x:v>
      </x:c>
      <x:c r="K6" s="63" t="str">
        <x:v>ReleveCompte_Pennylane_janvier_2026.pdf</x:v>
      </x:c>
    </x:row>
    <x:row r="7">
      <x:c r="A7" s="74" t="n">
        <x:v>46024</x:v>
      </x:c>
      <x:c r="B7" s="63" t="str">
        <x:v>Janvier</x:v>
      </x:c>
      <x:c r="C7" s="63" t="str">
        <x:v>Pennylane</x:v>
      </x:c>
      <x:c r="D7" s="63" t="str">
        <x:v>Virement</x:v>
      </x:c>
      <x:c r="E7" s="63" t="str">
        <x:v>202504067 derniere facture PAIN CYRILLE TIERSLIEU DU SUD TOURAINE</x:v>
      </x:c>
      <x:c r="F7" s="63" t="str">
        <x:v>Non</x:v>
      </x:c>
      <x:c r="G7" s="63" t="str">
        <x:v>Décaissement externe</x:v>
      </x:c>
      <x:c r="H7" s="63" t="str">
        <x:v>Autres prestataires et dépenses d'actions</x:v>
      </x:c>
      <x:c r="I7" s="64" t="n">
        <x:v>0</x:v>
      </x:c>
      <x:c r="J7" s="64" t="n">
        <x:v>2450</x:v>
      </x:c>
      <x:c r="K7" s="63" t="str">
        <x:v>ReleveCompte_Pennylane_janvier_2026.pdf</x:v>
      </x:c>
    </x:row>
    <x:row r="8">
      <x:c r="A8" s="74" t="n">
        <x:v>46024</x:v>
      </x:c>
      <x:c r="B8" s="63" t="str">
        <x:v>Janvier</x:v>
      </x:c>
      <x:c r="C8" s="63" t="str">
        <x:v>Pennylane</x:v>
      </x:c>
      <x:c r="D8" s="63" t="str">
        <x:v>Virement</x:v>
      </x:c>
      <x:c r="E8" s="63" t="str">
        <x:v>202522056 PAIN CYRILLE TIERSLIEU DU SUD TOURAINE</x:v>
      </x:c>
      <x:c r="F8" s="63" t="str">
        <x:v>Non</x:v>
      </x:c>
      <x:c r="G8" s="63" t="str">
        <x:v>Décaissement externe</x:v>
      </x:c>
      <x:c r="H8" s="63" t="str">
        <x:v>Autres prestataires et dépenses d'actions</x:v>
      </x:c>
      <x:c r="I8" s="64" t="n">
        <x:v>0</x:v>
      </x:c>
      <x:c r="J8" s="64" t="n">
        <x:v>2800</x:v>
      </x:c>
      <x:c r="K8" s="63" t="str">
        <x:v>ReleveCompte_Pennylane_janvier_2026.pdf</x:v>
      </x:c>
    </x:row>
    <x:row r="9">
      <x:c r="A9" s="74" t="n">
        <x:v>46024</x:v>
      </x:c>
      <x:c r="B9" s="63" t="str">
        <x:v>Janvier</x:v>
      </x:c>
      <x:c r="C9" s="63" t="str">
        <x:v>Pennylane</x:v>
      </x:c>
      <x:c r="D9" s="63" t="str">
        <x:v>Virement</x:v>
      </x:c>
      <x:c r="E9" s="63" t="str">
        <x:v>279053726113150 DAGORN CELINE TIERSLIEU DU SUD TOURAINE</x:v>
      </x:c>
      <x:c r="F9" s="63" t="str">
        <x:v>Non</x:v>
      </x:c>
      <x:c r="G9" s="63" t="str">
        <x:v>Décaissement externe</x:v>
      </x:c>
      <x:c r="H9" s="63" t="str">
        <x:v>Salaires nets</x:v>
      </x:c>
      <x:c r="I9" s="64" t="n">
        <x:v>0</x:v>
      </x:c>
      <x:c r="J9" s="64" t="n">
        <x:v>616.92</x:v>
      </x:c>
      <x:c r="K9" s="63" t="str">
        <x:v>ReleveCompte_Pennylane_janvier_2026.pdf</x:v>
      </x:c>
    </x:row>
    <x:row r="10">
      <x:c r="A10" s="74" t="n">
        <x:v>46024</x:v>
      </x:c>
      <x:c r="B10" s="63" t="str">
        <x:v>Janvier</x:v>
      </x:c>
      <x:c r="C10" s="63" t="str">
        <x:v>Pennylane</x:v>
      </x:c>
      <x:c r="D10" s="63" t="str">
        <x:v>Virement</x:v>
      </x:c>
      <x:c r="E10" s="63" t="str">
        <x:v>295114416224688 ENORA ROUX TIERSLIEU DU SUD TOURAINE</x:v>
      </x:c>
      <x:c r="F10" s="63" t="str">
        <x:v>Non</x:v>
      </x:c>
      <x:c r="G10" s="63" t="str">
        <x:v>Décaissement externe</x:v>
      </x:c>
      <x:c r="H10" s="63" t="str">
        <x:v>Salaires nets</x:v>
      </x:c>
      <x:c r="I10" s="64" t="n">
        <x:v>0</x:v>
      </x:c>
      <x:c r="J10" s="64" t="n">
        <x:v>1766.44</x:v>
      </x:c>
      <x:c r="K10" s="63" t="str">
        <x:v>ReleveCompte_Pennylane_janvier_2026.pdf</x:v>
      </x:c>
    </x:row>
    <x:row r="11">
      <x:c r="A11" s="74" t="n">
        <x:v>46026</x:v>
      </x:c>
      <x:c r="B11" s="63" t="str">
        <x:v>Janvier</x:v>
      </x:c>
      <x:c r="C11" s="63" t="str">
        <x:v>Pennylane</x:v>
      </x:c>
      <x:c r="D11" s="63" t="str">
        <x:v>Carte</x:v>
      </x:c>
      <x:c r="E11" s="63" t="str">
        <x:v>Meta - Gael Mallet **5345</x:v>
      </x:c>
      <x:c r="F11" s="63" t="str">
        <x:v>Non</x:v>
      </x:c>
      <x:c r="G11" s="63" t="str">
        <x:v>Décaissement externe</x:v>
      </x:c>
      <x:c r="H11" s="63" t="str">
        <x:v>Communication, logiciels et abonnements</x:v>
      </x:c>
      <x:c r="I11" s="64" t="n">
        <x:v>0</x:v>
      </x:c>
      <x:c r="J11" s="64" t="n">
        <x:v>42</x:v>
      </x:c>
      <x:c r="K11" s="63" t="str">
        <x:v>ReleveCompte_Pennylane_janvier_2026.pdf</x:v>
      </x:c>
    </x:row>
    <x:row r="12">
      <x:c r="A12" s="74" t="n">
        <x:v>46027</x:v>
      </x:c>
      <x:c r="B12" s="63" t="str">
        <x:v>Janvier</x:v>
      </x:c>
      <x:c r="C12" s="63" t="str">
        <x:v>Crédit Agricole</x:v>
      </x:c>
      <x:c r="D12" s="63" t="str">
        <x:v>Prélèvement</x:v>
      </x:c>
      <x:c r="E12" s="63" t="str">
        <x:v>AXA France IARD SA</x:v>
      </x:c>
      <x:c r="F12" s="63" t="str">
        <x:v>Non</x:v>
      </x:c>
      <x:c r="G12" s="63" t="str">
        <x:v>Décaissement externe</x:v>
      </x:c>
      <x:c r="H12" s="63" t="str">
        <x:v>Assurances</x:v>
      </x:c>
      <x:c r="I12" s="64" t="n">
        <x:v>0</x:v>
      </x:c>
      <x:c r="J12" s="64" t="n">
        <x:v>199.25</x:v>
      </x:c>
      <x:c r="K12" s="63" t="str">
        <x:v>Relevé Crédit Agricole Janvier 2026</x:v>
      </x:c>
    </x:row>
    <x:row r="13">
      <x:c r="A13" s="74" t="n">
        <x:v>46028</x:v>
      </x:c>
      <x:c r="B13" s="63" t="str">
        <x:v>Janvier</x:v>
      </x:c>
      <x:c r="C13" s="63" t="str">
        <x:v>Pennylane</x:v>
      </x:c>
      <x:c r="D13" s="63" t="str">
        <x:v>Carte</x:v>
      </x:c>
      <x:c r="E13" s="63" t="str">
        <x:v>La Nouvelle République - Gael Mallet **5345</x:v>
      </x:c>
      <x:c r="F13" s="63" t="str">
        <x:v>Non</x:v>
      </x:c>
      <x:c r="G13" s="63" t="str">
        <x:v>Décaissement externe</x:v>
      </x:c>
      <x:c r="H13" s="63" t="str">
        <x:v>Communication, logiciels et abonnements</x:v>
      </x:c>
      <x:c r="I13" s="64" t="n">
        <x:v>0</x:v>
      </x:c>
      <x:c r="J13" s="64" t="n">
        <x:v>14.9</x:v>
      </x:c>
      <x:c r="K13" s="63" t="str">
        <x:v>ReleveCompte_Pennylane_janvier_2026.pdf</x:v>
      </x:c>
    </x:row>
    <x:row r="14">
      <x:c r="A14" s="74" t="n">
        <x:v>46029</x:v>
      </x:c>
      <x:c r="B14" s="63" t="str">
        <x:v>Janvier</x:v>
      </x:c>
      <x:c r="C14" s="63" t="str">
        <x:v>Pennylane</x:v>
      </x:c>
      <x:c r="D14" s="63" t="str">
        <x:v>Frais</x:v>
      </x:c>
      <x:c r="E14" s="63" t="str">
        <x:v>Direct debit rejection</x:v>
      </x:c>
      <x:c r="F14" s="63" t="str">
        <x:v>Non</x:v>
      </x:c>
      <x:c r="G14" s="63" t="str">
        <x:v>Décaissement externe</x:v>
      </x:c>
      <x:c r="H14" s="63" t="str">
        <x:v>Frais bancaires et divers</x:v>
      </x:c>
      <x:c r="I14" s="64" t="n">
        <x:v>0</x:v>
      </x:c>
      <x:c r="J14" s="64" t="n">
        <x:v>10</x:v>
      </x:c>
      <x:c r="K14" s="63" t="str">
        <x:v>ReleveCompte_Pennylane_janvier_2026.pdf</x:v>
      </x:c>
    </x:row>
    <x:row r="15">
      <x:c r="A15" s="74" t="n">
        <x:v>46029</x:v>
      </x:c>
      <x:c r="B15" s="63" t="str">
        <x:v>Janvier</x:v>
      </x:c>
      <x:c r="C15" s="63" t="str">
        <x:v>Pennylane</x:v>
      </x:c>
      <x:c r="D15" s="63" t="str">
        <x:v>Carte</x:v>
      </x:c>
      <x:c r="E15" s="63" t="str">
        <x:v>L'OISEAU BLEU - Clémentine Vanlaer **5012</x:v>
      </x:c>
      <x:c r="F15" s="63" t="str">
        <x:v>Non</x:v>
      </x:c>
      <x:c r="G15" s="63" t="str">
        <x:v>Décaissement externe</x:v>
      </x:c>
      <x:c r="H15" s="63" t="str">
        <x:v>Achats, fournitures, restauration et événementiel</x:v>
      </x:c>
      <x:c r="I15" s="64" t="n">
        <x:v>0</x:v>
      </x:c>
      <x:c r="J15" s="64" t="n">
        <x:v>46.9</x:v>
      </x:c>
      <x:c r="K15" s="63" t="str">
        <x:v>ReleveCompte_Pennylane_janvier_2026.pdf</x:v>
      </x:c>
    </x:row>
    <x:row r="16">
      <x:c r="A16" s="74" t="n">
        <x:v>46029</x:v>
      </x:c>
      <x:c r="B16" s="63" t="str">
        <x:v>Janvier</x:v>
      </x:c>
      <x:c r="C16" s="63" t="str">
        <x:v>Pennylane</x:v>
      </x:c>
      <x:c r="D16" s="63" t="str">
        <x:v>Carte</x:v>
      </x:c>
      <x:c r="E16" s="63" t="str">
        <x:v>SNCF - Clémentine Vanlaer **5012</x:v>
      </x:c>
      <x:c r="F16" s="63" t="str">
        <x:v>Non</x:v>
      </x:c>
      <x:c r="G16" s="63" t="str">
        <x:v>Décaissement externe</x:v>
      </x:c>
      <x:c r="H16" s="63" t="str">
        <x:v>Déplacements, hébergement et notes de frais</x:v>
      </x:c>
      <x:c r="I16" s="64" t="n">
        <x:v>0</x:v>
      </x:c>
      <x:c r="J16" s="64" t="n">
        <x:v>84.8</x:v>
      </x:c>
      <x:c r="K16" s="63" t="str">
        <x:v>ReleveCompte_Pennylane_janvier_2026.pdf</x:v>
      </x:c>
    </x:row>
    <x:row r="17">
      <x:c r="A17" s="74" t="n">
        <x:v>46030</x:v>
      </x:c>
      <x:c r="B17" s="63" t="str">
        <x:v>Janvier</x:v>
      </x:c>
      <x:c r="C17" s="63" t="str">
        <x:v>Pennylane</x:v>
      </x:c>
      <x:c r="D17" s="63" t="str">
        <x:v>Virement</x:v>
      </x:c>
      <x:c r="E17" s="63" t="str">
        <x:v>F20251010 LATELIER DE LA CABANE A PLANTE TIERSLIEU DU SUD</x:v>
      </x:c>
      <x:c r="F17" s="63" t="str">
        <x:v>Non</x:v>
      </x:c>
      <x:c r="G17" s="63" t="str">
        <x:v>Décaissement externe</x:v>
      </x:c>
      <x:c r="H17" s="63" t="str">
        <x:v>Autres prestataires et dépenses d'actions</x:v>
      </x:c>
      <x:c r="I17" s="64" t="n">
        <x:v>0</x:v>
      </x:c>
      <x:c r="J17" s="64" t="n">
        <x:v>675</x:v>
      </x:c>
      <x:c r="K17" s="63" t="str">
        <x:v>ReleveCompte_Pennylane_janvier_2026.pdf</x:v>
      </x:c>
    </x:row>
    <x:row r="18">
      <x:c r="A18" s="74" t="n">
        <x:v>46030</x:v>
      </x:c>
      <x:c r="B18" s="63" t="str">
        <x:v>Janvier</x:v>
      </x:c>
      <x:c r="C18" s="63" t="str">
        <x:v>Pennylane</x:v>
      </x:c>
      <x:c r="D18" s="63" t="str">
        <x:v>Carte</x:v>
      </x:c>
      <x:c r="E18" s="63" t="str">
        <x:v>Meta - Gael Mallet **5345</x:v>
      </x:c>
      <x:c r="F18" s="63" t="str">
        <x:v>Non</x:v>
      </x:c>
      <x:c r="G18" s="63" t="str">
        <x:v>Décaissement externe</x:v>
      </x:c>
      <x:c r="H18" s="63" t="str">
        <x:v>Communication, logiciels et abonnements</x:v>
      </x:c>
      <x:c r="I18" s="64" t="n">
        <x:v>0</x:v>
      </x:c>
      <x:c r="J18" s="64" t="n">
        <x:v>12.58</x:v>
      </x:c>
      <x:c r="K18" s="63" t="str">
        <x:v>ReleveCompte_Pennylane_janvier_2026.pdf</x:v>
      </x:c>
    </x:row>
    <x:row r="19">
      <x:c r="A19" s="74" t="n">
        <x:v>46031</x:v>
      </x:c>
      <x:c r="B19" s="63" t="str">
        <x:v>Janvier</x:v>
      </x:c>
      <x:c r="C19" s="63" t="str">
        <x:v>Crédit Agricole</x:v>
      </x:c>
      <x:c r="D19" s="63" t="str">
        <x:v>Frais</x:v>
      </x:c>
      <x:c r="E19" s="63" t="str">
        <x:v>Intérêts débiteurs</x:v>
      </x:c>
      <x:c r="F19" s="63" t="str">
        <x:v>Non</x:v>
      </x:c>
      <x:c r="G19" s="63" t="str">
        <x:v>Décaissement externe</x:v>
      </x:c>
      <x:c r="H19" s="63" t="str">
        <x:v>Frais bancaires et divers</x:v>
      </x:c>
      <x:c r="I19" s="64" t="n">
        <x:v>0</x:v>
      </x:c>
      <x:c r="J19" s="64" t="n">
        <x:v>33.77</x:v>
      </x:c>
      <x:c r="K19" s="63" t="str">
        <x:v>Relevé Crédit Agricole Janvier 2026</x:v>
      </x:c>
    </x:row>
    <x:row r="20">
      <x:c r="A20" s="74" t="n">
        <x:v>46031</x:v>
      </x:c>
      <x:c r="B20" s="63" t="str">
        <x:v>Janvier</x:v>
      </x:c>
      <x:c r="C20" s="63" t="str">
        <x:v>Crédit Agricole</x:v>
      </x:c>
      <x:c r="D20" s="63" t="str">
        <x:v>Virement</x:v>
      </x:c>
      <x:c r="E20" s="63" t="str">
        <x:v>Régularisation intérêts débiteurs</x:v>
      </x:c>
      <x:c r="F20" s="63" t="str">
        <x:v>Non</x:v>
      </x:c>
      <x:c r="G20" s="63" t="str">
        <x:v>Encaissement externe</x:v>
      </x:c>
      <x:c r="H20" s="63" t="str">
        <x:v>Autres encaissements / apports</x:v>
      </x:c>
      <x:c r="I20" s="64" t="n">
        <x:v>0.07</x:v>
      </x:c>
      <x:c r="J20" s="64" t="n">
        <x:v>0</x:v>
      </x:c>
      <x:c r="K20" s="63" t="str">
        <x:v>Relevé Crédit Agricole Janvier 2026</x:v>
      </x:c>
    </x:row>
    <x:row r="21">
      <x:c r="A21" s="74" t="n">
        <x:v>46035</x:v>
      </x:c>
      <x:c r="B21" s="63" t="str">
        <x:v>Janvier</x:v>
      </x:c>
      <x:c r="C21" s="63" t="str">
        <x:v>Pennylane</x:v>
      </x:c>
      <x:c r="D21" s="63" t="str">
        <x:v>Virement</x:v>
      </x:c>
      <x:c r="E21" s="63" t="str">
        <x:v>295114416224688 ENORA ROUX TIERSLIEU DU SUD TOURAINE</x:v>
      </x:c>
      <x:c r="F21" s="63" t="str">
        <x:v>Non</x:v>
      </x:c>
      <x:c r="G21" s="63" t="str">
        <x:v>Décaissement externe</x:v>
      </x:c>
      <x:c r="H21" s="63" t="str">
        <x:v>Salaires nets</x:v>
      </x:c>
      <x:c r="I21" s="64" t="n">
        <x:v>0</x:v>
      </x:c>
      <x:c r="J21" s="64" t="n">
        <x:v>642.25</x:v>
      </x:c>
      <x:c r="K21" s="63" t="str">
        <x:v>ReleveCompte_Pennylane_janvier_2026.pdf</x:v>
      </x:c>
    </x:row>
    <x:row r="22">
      <x:c r="A22" s="74" t="n">
        <x:v>46036</x:v>
      </x:c>
      <x:c r="B22" s="63" t="str">
        <x:v>Janvier</x:v>
      </x:c>
      <x:c r="C22" s="63" t="str">
        <x:v>Pennylane</x:v>
      </x:c>
      <x:c r="D22" s="63" t="str">
        <x:v>Virement</x:v>
      </x:c>
      <x:c r="E22" s="63" t="str">
        <x:v>99S3 00005538528 001 00001 66 MAJ20255120801- OCTOBRE 2025</x:v>
      </x:c>
      <x:c r="F22" s="63" t="str">
        <x:v>Non</x:v>
      </x:c>
      <x:c r="G22" s="63" t="str">
        <x:v>Décaissement externe</x:v>
      </x:c>
      <x:c r="H22" s="63" t="str">
        <x:v>Achats, fournitures, restauration et événementiel</x:v>
      </x:c>
      <x:c r="I22" s="64" t="n">
        <x:v>0</x:v>
      </x:c>
      <x:c r="J22" s="64" t="n">
        <x:v>36</x:v>
      </x:c>
      <x:c r="K22" s="63" t="str">
        <x:v>ReleveCompte_Pennylane_janvier_2026.pdf</x:v>
      </x:c>
    </x:row>
    <x:row r="23">
      <x:c r="A23" s="74" t="n">
        <x:v>46036</x:v>
      </x:c>
      <x:c r="B23" s="63" t="str">
        <x:v>Janvier</x:v>
      </x:c>
      <x:c r="C23" s="63" t="str">
        <x:v>Pennylane</x:v>
      </x:c>
      <x:c r="D23" s="63" t="str">
        <x:v>Virement</x:v>
      </x:c>
      <x:c r="E23" s="63" t="str">
        <x:v>99S3 00005538528 001 00001 66 MAJ20255120802</x:v>
      </x:c>
      <x:c r="F23" s="63" t="str">
        <x:v>Non</x:v>
      </x:c>
      <x:c r="G23" s="63" t="str">
        <x:v>Décaissement externe</x:v>
      </x:c>
      <x:c r="H23" s="63" t="str">
        <x:v>Achats, fournitures, restauration et événementiel</x:v>
      </x:c>
      <x:c r="I23" s="64" t="n">
        <x:v>0</x:v>
      </x:c>
      <x:c r="J23" s="64" t="n">
        <x:v>14.7</x:v>
      </x:c>
      <x:c r="K23" s="63" t="str">
        <x:v>ReleveCompte_Pennylane_janvier_2026.pdf</x:v>
      </x:c>
    </x:row>
    <x:row r="24">
      <x:c r="A24" s="74" t="n">
        <x:v>46036</x:v>
      </x:c>
      <x:c r="B24" s="63" t="str">
        <x:v>Janvier</x:v>
      </x:c>
      <x:c r="C24" s="63" t="str">
        <x:v>Pennylane</x:v>
      </x:c>
      <x:c r="D24" s="63" t="str">
        <x:v>Carte</x:v>
      </x:c>
      <x:c r="E24" s="63" t="str">
        <x:v>ASSOCIATION NATIONALE - Corentin Paquereau **6814</x:v>
      </x:c>
      <x:c r="F24" s="63" t="str">
        <x:v>Non</x:v>
      </x:c>
      <x:c r="G24" s="63" t="str">
        <x:v>Décaissement externe</x:v>
      </x:c>
      <x:c r="H24" s="63" t="str">
        <x:v>Achats, fournitures, restauration et événementiel</x:v>
      </x:c>
      <x:c r="I24" s="64" t="n">
        <x:v>0</x:v>
      </x:c>
      <x:c r="J24" s="64" t="n">
        <x:v>50</x:v>
      </x:c>
      <x:c r="K24" s="63" t="str">
        <x:v>ReleveCompte_Pennylane_janvier_2026.pdf</x:v>
      </x:c>
    </x:row>
    <x:row r="25">
      <x:c r="A25" s="74" t="n">
        <x:v>46037</x:v>
      </x:c>
      <x:c r="B25" s="63" t="str">
        <x:v>Janvier</x:v>
      </x:c>
      <x:c r="C25" s="63" t="str">
        <x:v>Crédit Agricole</x:v>
      </x:c>
      <x:c r="D25" s="63" t="str">
        <x:v>Prélèvement</x:v>
      </x:c>
      <x:c r="E25" s="63" t="str">
        <x:v>Allianz IARD</x:v>
      </x:c>
      <x:c r="F25" s="63" t="str">
        <x:v>Non</x:v>
      </x:c>
      <x:c r="G25" s="63" t="str">
        <x:v>Décaissement externe</x:v>
      </x:c>
      <x:c r="H25" s="63" t="str">
        <x:v>Assurances</x:v>
      </x:c>
      <x:c r="I25" s="64" t="n">
        <x:v>0</x:v>
      </x:c>
      <x:c r="J25" s="64" t="n">
        <x:v>95.72</x:v>
      </x:c>
      <x:c r="K25" s="63" t="str">
        <x:v>Relevé Crédit Agricole Janvier 2026</x:v>
      </x:c>
    </x:row>
    <x:row r="26">
      <x:c r="A26" s="74" t="n">
        <x:v>46037</x:v>
      </x:c>
      <x:c r="B26" s="63" t="str">
        <x:v>Janvier</x:v>
      </x:c>
      <x:c r="C26" s="63" t="str">
        <x:v>Crédit Agricole</x:v>
      </x:c>
      <x:c r="D26" s="63" t="str">
        <x:v>Prélèvement</x:v>
      </x:c>
      <x:c r="E26" s="63" t="str">
        <x:v>Free Pro</x:v>
      </x:c>
      <x:c r="F26" s="63" t="str">
        <x:v>Non</x:v>
      </x:c>
      <x:c r="G26" s="63" t="str">
        <x:v>Décaissement externe</x:v>
      </x:c>
      <x:c r="H26" s="63" t="str">
        <x:v>Télécommunications</x:v>
      </x:c>
      <x:c r="I26" s="64" t="n">
        <x:v>0</x:v>
      </x:c>
      <x:c r="J26" s="64" t="n">
        <x:v>83.96</x:v>
      </x:c>
      <x:c r="K26" s="63" t="str">
        <x:v>Relevé Crédit Agricole Janvier 2026</x:v>
      </x:c>
    </x:row>
    <x:row r="27">
      <x:c r="A27" s="74" t="n">
        <x:v>46037</x:v>
      </x:c>
      <x:c r="B27" s="63" t="str">
        <x:v>Janvier</x:v>
      </x:c>
      <x:c r="C27" s="63" t="str">
        <x:v>Crédit Agricole</x:v>
      </x:c>
      <x:c r="D27" s="63" t="str">
        <x:v>Virement interne</x:v>
      </x:c>
      <x:c r="E27" s="63" t="str">
        <x:v>Vir Inst vers Tiers-lieu Du Sud</x:v>
      </x:c>
      <x:c r="F27" s="63" t="str">
        <x:v>Oui</x:v>
      </x:c>
      <x:c r="G27" s="63" t="str">
        <x:v>Virement interne neutralisé</x:v>
      </x:c>
      <x:c r="H27" s="63" t="str">
        <x:v>Virements internes</x:v>
      </x:c>
      <x:c r="I27" s="64" t="n">
        <x:v>0</x:v>
      </x:c>
      <x:c r="J27" s="64" t="n">
        <x:v>15000</x:v>
      </x:c>
      <x:c r="K27" s="63" t="str">
        <x:v>Relevé Crédit Agricole Janvier 2026</x:v>
      </x:c>
    </x:row>
    <x:row r="28">
      <x:c r="A28" s="74" t="n">
        <x:v>46037</x:v>
      </x:c>
      <x:c r="B28" s="63" t="str">
        <x:v>Janvier</x:v>
      </x:c>
      <x:c r="C28" s="63" t="str">
        <x:v>Pennylane</x:v>
      </x:c>
      <x:c r="D28" s="63" t="str">
        <x:v>Virement</x:v>
      </x:c>
      <x:c r="E28" s="63" t="str">
        <x:v>176033713201728 CLEMENT MICKAEL TIERSLIEU DU SUD TOURAINE</x:v>
      </x:c>
      <x:c r="F28" s="63" t="str">
        <x:v>Non</x:v>
      </x:c>
      <x:c r="G28" s="63" t="str">
        <x:v>Décaissement externe</x:v>
      </x:c>
      <x:c r="H28" s="63" t="str">
        <x:v>Salaires nets</x:v>
      </x:c>
      <x:c r="I28" s="64" t="n">
        <x:v>0</x:v>
      </x:c>
      <x:c r="J28" s="64" t="n">
        <x:v>932.76</x:v>
      </x:c>
      <x:c r="K28" s="63" t="str">
        <x:v>ReleveCompte_Pennylane_janvier_2026.pdf</x:v>
      </x:c>
    </x:row>
    <x:row r="29">
      <x:c r="A29" s="74" t="n">
        <x:v>46037</x:v>
      </x:c>
      <x:c r="B29" s="63" t="str">
        <x:v>Janvier</x:v>
      </x:c>
      <x:c r="C29" s="63" t="str">
        <x:v>Pennylane</x:v>
      </x:c>
      <x:c r="D29" s="63" t="str">
        <x:v>Virement</x:v>
      </x:c>
      <x:c r="E29" s="63" t="str">
        <x:v>ASSURANCE BAT DECEMBRE 2025 //003 NOCAUDIELE SOUEF TIERSLIEU</x:v>
      </x:c>
      <x:c r="F29" s="63" t="str">
        <x:v>Non</x:v>
      </x:c>
      <x:c r="G29" s="63" t="str">
        <x:v>Décaissement externe</x:v>
      </x:c>
      <x:c r="H29" s="63" t="str">
        <x:v>Assurances</x:v>
      </x:c>
      <x:c r="I29" s="64" t="n">
        <x:v>0</x:v>
      </x:c>
      <x:c r="J29" s="64" t="n">
        <x:v>186.74</x:v>
      </x:c>
      <x:c r="K29" s="63" t="str">
        <x:v>ReleveCompte_Pennylane_janvier_2026.pdf</x:v>
      </x:c>
    </x:row>
    <x:row r="30">
      <x:c r="A30" s="74" t="n">
        <x:v>46037</x:v>
      </x:c>
      <x:c r="B30" s="63" t="str">
        <x:v>Janvier</x:v>
      </x:c>
      <x:c r="C30" s="63" t="str">
        <x:v>Pennylane</x:v>
      </x:c>
      <x:c r="D30" s="63" t="str">
        <x:v>Virement</x:v>
      </x:c>
      <x:c r="E30" s="63" t="str">
        <x:v>Pennylane - recharge compte pro . 208603</x:v>
      </x:c>
      <x:c r="F30" s="63" t="str">
        <x:v>Oui</x:v>
      </x:c>
      <x:c r="G30" s="63" t="str">
        <x:v>Virement interne neutralisé</x:v>
      </x:c>
      <x:c r="H30" s="63" t="str">
        <x:v>Virements internes</x:v>
      </x:c>
      <x:c r="I30" s="64" t="n">
        <x:v>15000</x:v>
      </x:c>
      <x:c r="J30" s="64" t="n">
        <x:v>0</x:v>
      </x:c>
      <x:c r="K30" s="63" t="str">
        <x:v>ReleveCompte_Pennylane_janvier_2026.pdf</x:v>
      </x:c>
    </x:row>
    <x:row r="31">
      <x:c r="A31" s="74" t="n">
        <x:v>46037</x:v>
      </x:c>
      <x:c r="B31" s="63" t="str">
        <x:v>Janvier</x:v>
      </x:c>
      <x:c r="C31" s="63" t="str">
        <x:v>Pennylane</x:v>
      </x:c>
      <x:c r="D31" s="63" t="str">
        <x:v>Virement</x:v>
      </x:c>
      <x:c r="E31" s="63" t="str">
        <x:v>Virement pour Mickael Clement</x:v>
      </x:c>
      <x:c r="F31" s="63" t="str">
        <x:v>Non</x:v>
      </x:c>
      <x:c r="G31" s="63" t="str">
        <x:v>Décaissement externe</x:v>
      </x:c>
      <x:c r="H31" s="63" t="str">
        <x:v>Achats, fournitures, restauration et événementiel</x:v>
      </x:c>
      <x:c r="I31" s="64" t="n">
        <x:v>0</x:v>
      </x:c>
      <x:c r="J31" s="64" t="n">
        <x:v>10</x:v>
      </x:c>
      <x:c r="K31" s="63" t="str">
        <x:v>ReleveCompte_Pennylane_janvier_2026.pdf</x:v>
      </x:c>
    </x:row>
    <x:row r="32">
      <x:c r="A32" s="74" t="n">
        <x:v>46038</x:v>
      </x:c>
      <x:c r="B32" s="63" t="str">
        <x:v>Janvier</x:v>
      </x:c>
      <x:c r="C32" s="63" t="str">
        <x:v>Crédit Agricole</x:v>
      </x:c>
      <x:c r="D32" s="63" t="str">
        <x:v>Prélèvement</x:v>
      </x:c>
      <x:c r="E32" s="63" t="str">
        <x:v>URSSAF Centre</x:v>
      </x:c>
      <x:c r="F32" s="63" t="str">
        <x:v>Non</x:v>
      </x:c>
      <x:c r="G32" s="63" t="str">
        <x:v>Décaissement externe</x:v>
      </x:c>
      <x:c r="H32" s="63" t="str">
        <x:v>Cotisations URSSAF</x:v>
      </x:c>
      <x:c r="I32" s="64" t="n">
        <x:v>0</x:v>
      </x:c>
      <x:c r="J32" s="64" t="n">
        <x:v>2140</x:v>
      </x:c>
      <x:c r="K32" s="63" t="str">
        <x:v>Relevé Crédit Agricole Janvier 2026</x:v>
      </x:c>
    </x:row>
    <x:row r="33">
      <x:c r="A33" s="74" t="n">
        <x:v>46038</x:v>
      </x:c>
      <x:c r="B33" s="63" t="str">
        <x:v>Janvier</x:v>
      </x:c>
      <x:c r="C33" s="63" t="str">
        <x:v>Pennylane</x:v>
      </x:c>
      <x:c r="D33" s="63" t="str">
        <x:v>Carte</x:v>
      </x:c>
      <x:c r="E33" s="63" t="str">
        <x:v>SIMPLY LOCHES - Corentin Paquereau **6814</x:v>
      </x:c>
      <x:c r="F33" s="63" t="str">
        <x:v>Non</x:v>
      </x:c>
      <x:c r="G33" s="63" t="str">
        <x:v>Décaissement externe</x:v>
      </x:c>
      <x:c r="H33" s="63" t="str">
        <x:v>Achats, fournitures, restauration et événementiel</x:v>
      </x:c>
      <x:c r="I33" s="64" t="n">
        <x:v>0</x:v>
      </x:c>
      <x:c r="J33" s="64" t="n">
        <x:v>4.96</x:v>
      </x:c>
      <x:c r="K33" s="63" t="str">
        <x:v>ReleveCompte_Pennylane_janvier_2026.pdf</x:v>
      </x:c>
    </x:row>
    <x:row r="34">
      <x:c r="A34" s="74" t="n">
        <x:v>46038</x:v>
      </x:c>
      <x:c r="B34" s="63" t="str">
        <x:v>Janvier</x:v>
      </x:c>
      <x:c r="C34" s="63" t="str">
        <x:v>Pennylane</x:v>
      </x:c>
      <x:c r="D34" s="63" t="str">
        <x:v>Carte</x:v>
      </x:c>
      <x:c r="E34" s="63" t="str">
        <x:v>WP Umbrella - Gael Mallet **5345</x:v>
      </x:c>
      <x:c r="F34" s="63" t="str">
        <x:v>Non</x:v>
      </x:c>
      <x:c r="G34" s="63" t="str">
        <x:v>Décaissement externe</x:v>
      </x:c>
      <x:c r="H34" s="63" t="str">
        <x:v>Communication, logiciels et abonnements</x:v>
      </x:c>
      <x:c r="I34" s="64" t="n">
        <x:v>0</x:v>
      </x:c>
      <x:c r="J34" s="64" t="n">
        <x:v>4.78</x:v>
      </x:c>
      <x:c r="K34" s="63" t="str">
        <x:v>ReleveCompte_Pennylane_janvier_2026.pdf</x:v>
      </x:c>
    </x:row>
    <x:row r="35">
      <x:c r="A35" s="74" t="n">
        <x:v>46041</x:v>
      </x:c>
      <x:c r="B35" s="63" t="str">
        <x:v>Janvier</x:v>
      </x:c>
      <x:c r="C35" s="63" t="str">
        <x:v>Crédit Agricole</x:v>
      </x:c>
      <x:c r="D35" s="63" t="str">
        <x:v>Prélèvement</x:v>
      </x:c>
      <x:c r="E35" s="63" t="str">
        <x:v>Electricité de France</x:v>
      </x:c>
      <x:c r="F35" s="63" t="str">
        <x:v>Non</x:v>
      </x:c>
      <x:c r="G35" s="63" t="str">
        <x:v>Décaissement externe</x:v>
      </x:c>
      <x:c r="H35" s="63" t="str">
        <x:v>Électricité</x:v>
      </x:c>
      <x:c r="I35" s="64" t="n">
        <x:v>0</x:v>
      </x:c>
      <x:c r="J35" s="64" t="n">
        <x:v>88.62</x:v>
      </x:c>
      <x:c r="K35" s="63" t="str">
        <x:v>Relevé Crédit Agricole Janvier 2026</x:v>
      </x:c>
    </x:row>
    <x:row r="36">
      <x:c r="A36" s="74" t="n">
        <x:v>46041</x:v>
      </x:c>
      <x:c r="B36" s="63" t="str">
        <x:v>Janvier</x:v>
      </x:c>
      <x:c r="C36" s="63" t="str">
        <x:v>Pennylane</x:v>
      </x:c>
      <x:c r="D36" s="63" t="str">
        <x:v>Virement</x:v>
      </x:c>
      <x:c r="E36" s="63" t="str">
        <x:v>2504080 CONSTRUCTIONS METALLIQUES PIOT TIERSLIEU DU SUD</x:v>
      </x:c>
      <x:c r="F36" s="63" t="str">
        <x:v>Non</x:v>
      </x:c>
      <x:c r="G36" s="63" t="str">
        <x:v>Décaissement externe</x:v>
      </x:c>
      <x:c r="H36" s="63" t="str">
        <x:v>Travaux et investissements</x:v>
      </x:c>
      <x:c r="I36" s="64" t="n">
        <x:v>0</x:v>
      </x:c>
      <x:c r="J36" s="64" t="n">
        <x:v>2000</x:v>
      </x:c>
      <x:c r="K36" s="63" t="str">
        <x:v>ReleveCompte_Pennylane_janvier_2026.pdf</x:v>
      </x:c>
    </x:row>
    <x:row r="37">
      <x:c r="A37" s="74" t="n">
        <x:v>46041</x:v>
      </x:c>
      <x:c r="B37" s="63" t="str">
        <x:v>Janvier</x:v>
      </x:c>
      <x:c r="C37" s="63" t="str">
        <x:v>Pennylane</x:v>
      </x:c>
      <x:c r="D37" s="63" t="str">
        <x:v>Virement</x:v>
      </x:c>
      <x:c r="E37" s="63" t="str">
        <x:v>Virement pour COMMUN JARDIN</x:v>
      </x:c>
      <x:c r="F37" s="63" t="str">
        <x:v>Non</x:v>
      </x:c>
      <x:c r="G37" s="63" t="str">
        <x:v>Décaissement externe</x:v>
      </x:c>
      <x:c r="H37" s="63" t="str">
        <x:v>Autres prestataires et dépenses d'actions</x:v>
      </x:c>
      <x:c r="I37" s="64" t="n">
        <x:v>0</x:v>
      </x:c>
      <x:c r="J37" s="64" t="n">
        <x:v>3000</x:v>
      </x:c>
      <x:c r="K37" s="63" t="str">
        <x:v>ReleveCompte_Pennylane_janvier_2026.pdf</x:v>
      </x:c>
    </x:row>
    <x:row r="38">
      <x:c r="A38" s="74" t="n">
        <x:v>46042</x:v>
      </x:c>
      <x:c r="B38" s="63" t="str">
        <x:v>Janvier</x:v>
      </x:c>
      <x:c r="C38" s="63" t="str">
        <x:v>Pennylane</x:v>
      </x:c>
      <x:c r="D38" s="63" t="str">
        <x:v>Virement</x:v>
      </x:c>
      <x:c r="E38" s="63" t="str">
        <x:v>25066 ADEVAL AUDIT TIERSLIEU DU SUD TOURAINE</x:v>
      </x:c>
      <x:c r="F38" s="63" t="str">
        <x:v>Non</x:v>
      </x:c>
      <x:c r="G38" s="63" t="str">
        <x:v>Décaissement externe</x:v>
      </x:c>
      <x:c r="H38" s="63" t="str">
        <x:v>Autres prestataires et dépenses d'actions</x:v>
      </x:c>
      <x:c r="I38" s="64" t="n">
        <x:v>0</x:v>
      </x:c>
      <x:c r="J38" s="64" t="n">
        <x:v>3000</x:v>
      </x:c>
      <x:c r="K38" s="63" t="str">
        <x:v>ReleveCompte_Pennylane_janvier_2026.pdf</x:v>
      </x:c>
    </x:row>
    <x:row r="39">
      <x:c r="A39" s="74" t="n">
        <x:v>46042</x:v>
      </x:c>
      <x:c r="B39" s="63" t="str">
        <x:v>Janvier</x:v>
      </x:c>
      <x:c r="C39" s="63" t="str">
        <x:v>Pennylane</x:v>
      </x:c>
      <x:c r="D39" s="63" t="str">
        <x:v>Virement</x:v>
      </x:c>
      <x:c r="E39" s="63" t="str">
        <x:v>FA2500444 DUTHOO SOC INFOR G G TIERSLIEU DU SUD TOURAINE</x:v>
      </x:c>
      <x:c r="F39" s="63" t="str">
        <x:v>Non</x:v>
      </x:c>
      <x:c r="G39" s="63" t="str">
        <x:v>Décaissement externe</x:v>
      </x:c>
      <x:c r="H39" s="63" t="str">
        <x:v>Prestations informatiques / Duthoo</x:v>
      </x:c>
      <x:c r="I39" s="64" t="n">
        <x:v>0</x:v>
      </x:c>
      <x:c r="J39" s="64" t="n">
        <x:v>1800</x:v>
      </x:c>
      <x:c r="K39" s="63" t="str">
        <x:v>ReleveCompte_Pennylane_janvier_2026.pdf</x:v>
      </x:c>
    </x:row>
    <x:row r="40">
      <x:c r="A40" s="74" t="n">
        <x:v>46042</x:v>
      </x:c>
      <x:c r="B40" s="63" t="str">
        <x:v>Janvier</x:v>
      </x:c>
      <x:c r="C40" s="63" t="str">
        <x:v>Pennylane</x:v>
      </x:c>
      <x:c r="D40" s="63" t="str">
        <x:v>Virement</x:v>
      </x:c>
      <x:c r="E40" s="63" t="str">
        <x:v>FACT TIERS LIEU LOCHES 2026-01-14 F-2025-6 64174.PDFATELIERS</x:v>
      </x:c>
      <x:c r="F40" s="63" t="str">
        <x:v>Non</x:v>
      </x:c>
      <x:c r="G40" s="63" t="str">
        <x:v>Encaissement externe</x:v>
      </x:c>
      <x:c r="H40" s="63" t="str">
        <x:v>Prestations, ventes et produits d'activité</x:v>
      </x:c>
      <x:c r="I40" s="64" t="n">
        <x:v>641.74</x:v>
      </x:c>
      <x:c r="J40" s="64" t="n">
        <x:v>0</x:v>
      </x:c>
      <x:c r="K40" s="63" t="str">
        <x:v>ReleveCompte_Pennylane_janvier_2026.pdf</x:v>
      </x:c>
    </x:row>
    <x:row r="41">
      <x:c r="A41" s="74" t="n">
        <x:v>46042</x:v>
      </x:c>
      <x:c r="B41" s="63" t="str">
        <x:v>Janvier</x:v>
      </x:c>
      <x:c r="C41" s="63" t="str">
        <x:v>Pennylane</x:v>
      </x:c>
      <x:c r="D41" s="63" t="str">
        <x:v>Carte</x:v>
      </x:c>
      <x:c r="E41" s="63" t="str">
        <x:v>Pennylane - Gael Mallet **5345</x:v>
      </x:c>
      <x:c r="F41" s="63" t="str">
        <x:v>Non</x:v>
      </x:c>
      <x:c r="G41" s="63" t="str">
        <x:v>Décaissement externe</x:v>
      </x:c>
      <x:c r="H41" s="63" t="str">
        <x:v>Communication, logiciels et abonnements</x:v>
      </x:c>
      <x:c r="I41" s="64" t="n">
        <x:v>0</x:v>
      </x:c>
      <x:c r="J41" s="64" t="n">
        <x:v>34.8</x:v>
      </x:c>
      <x:c r="K41" s="63" t="str">
        <x:v>ReleveCompte_Pennylane_janvier_2026.pdf</x:v>
      </x:c>
    </x:row>
    <x:row r="42">
      <x:c r="A42" s="74" t="n">
        <x:v>46043</x:v>
      </x:c>
      <x:c r="B42" s="63" t="str">
        <x:v>Janvier</x:v>
      </x:c>
      <x:c r="C42" s="63" t="str">
        <x:v>Crédit Agricole</x:v>
      </x:c>
      <x:c r="D42" s="63" t="str">
        <x:v>Prélèvement</x:v>
      </x:c>
      <x:c r="E42" s="63" t="str">
        <x:v>DGFIP PAS</x:v>
      </x:c>
      <x:c r="F42" s="63" t="str">
        <x:v>Non</x:v>
      </x:c>
      <x:c r="G42" s="63" t="str">
        <x:v>Décaissement externe</x:v>
      </x:c>
      <x:c r="H42" s="63" t="str">
        <x:v>Prélèvement à la source / impôts</x:v>
      </x:c>
      <x:c r="I42" s="64" t="n">
        <x:v>0</x:v>
      </x:c>
      <x:c r="J42" s="64" t="n">
        <x:v>166</x:v>
      </x:c>
      <x:c r="K42" s="63" t="str">
        <x:v>Relevé Crédit Agricole Janvier 2026</x:v>
      </x:c>
    </x:row>
    <x:row r="43">
      <x:c r="A43" s="74" t="n">
        <x:v>46043</x:v>
      </x:c>
      <x:c r="B43" s="63" t="str">
        <x:v>Janvier</x:v>
      </x:c>
      <x:c r="C43" s="63" t="str">
        <x:v>Pennylane</x:v>
      </x:c>
      <x:c r="D43" s="63" t="str">
        <x:v>Virement</x:v>
      </x:c>
      <x:c r="E43" s="63" t="str">
        <x:v>202588010 TIERSLIEU DU SUD TOURAINE</x:v>
      </x:c>
      <x:c r="F43" s="63" t="str">
        <x:v>Non</x:v>
      </x:c>
      <x:c r="G43" s="63" t="str">
        <x:v>Décaissement externe</x:v>
      </x:c>
      <x:c r="H43" s="63" t="str">
        <x:v>Autres prestataires et dépenses d'actions</x:v>
      </x:c>
      <x:c r="I43" s="64" t="n">
        <x:v>0</x:v>
      </x:c>
      <x:c r="J43" s="64" t="n">
        <x:v>165</x:v>
      </x:c>
      <x:c r="K43" s="63" t="str">
        <x:v>ReleveCompte_Pennylane_janvier_2026.pdf</x:v>
      </x:c>
    </x:row>
    <x:row r="44">
      <x:c r="A44" s="74" t="n">
        <x:v>46043</x:v>
      </x:c>
      <x:c r="B44" s="63" t="str">
        <x:v>Janvier</x:v>
      </x:c>
      <x:c r="C44" s="63" t="str">
        <x:v>Pennylane</x:v>
      </x:c>
      <x:c r="D44" s="63" t="str">
        <x:v>Carte</x:v>
      </x:c>
      <x:c r="E44" s="63" t="str">
        <x:v>Notion - Gael Mallet **5345</x:v>
      </x:c>
      <x:c r="F44" s="63" t="str">
        <x:v>Non</x:v>
      </x:c>
      <x:c r="G44" s="63" t="str">
        <x:v>Décaissement externe</x:v>
      </x:c>
      <x:c r="H44" s="63" t="str">
        <x:v>Communication, logiciels et abonnements</x:v>
      </x:c>
      <x:c r="I44" s="64" t="n">
        <x:v>0</x:v>
      </x:c>
      <x:c r="J44" s="64" t="n">
        <x:v>40.06</x:v>
      </x:c>
      <x:c r="K44" s="63" t="str">
        <x:v>ReleveCompte_Pennylane_janvier_2026.pdf</x:v>
      </x:c>
    </x:row>
    <x:row r="45">
      <x:c r="A45" s="74" t="n">
        <x:v>46045</x:v>
      </x:c>
      <x:c r="B45" s="63" t="str">
        <x:v>Janvier</x:v>
      </x:c>
      <x:c r="C45" s="63" t="str">
        <x:v>Crédit Agricole</x:v>
      </x:c>
      <x:c r="D45" s="63" t="str">
        <x:v>Prélèvement</x:v>
      </x:c>
      <x:c r="E45" s="63" t="str">
        <x:v>Harmonie Mutuelle</x:v>
      </x:c>
      <x:c r="F45" s="63" t="str">
        <x:v>Non</x:v>
      </x:c>
      <x:c r="G45" s="63" t="str">
        <x:v>Décaissement externe</x:v>
      </x:c>
      <x:c r="H45" s="63" t="str">
        <x:v>Mutuelle santé</x:v>
      </x:c>
      <x:c r="I45" s="64" t="n">
        <x:v>0</x:v>
      </x:c>
      <x:c r="J45" s="64" t="n">
        <x:v>563.74</x:v>
      </x:c>
      <x:c r="K45" s="63" t="str">
        <x:v>Relevé Crédit Agricole Janvier 2026</x:v>
      </x:c>
    </x:row>
    <x:row r="46">
      <x:c r="A46" s="74" t="n">
        <x:v>46045</x:v>
      </x:c>
      <x:c r="B46" s="63" t="str">
        <x:v>Janvier</x:v>
      </x:c>
      <x:c r="C46" s="63" t="str">
        <x:v>Crédit Agricole</x:v>
      </x:c>
      <x:c r="D46" s="63" t="str">
        <x:v>Prélèvement</x:v>
      </x:c>
      <x:c r="E46" s="63" t="str">
        <x:v>Harmonie Mutuelle</x:v>
      </x:c>
      <x:c r="F46" s="63" t="str">
        <x:v>Non</x:v>
      </x:c>
      <x:c r="G46" s="63" t="str">
        <x:v>Décaissement externe</x:v>
      </x:c>
      <x:c r="H46" s="63" t="str">
        <x:v>Mutuelle santé</x:v>
      </x:c>
      <x:c r="I46" s="64" t="n">
        <x:v>0</x:v>
      </x:c>
      <x:c r="J46" s="64" t="n">
        <x:v>563.74</x:v>
      </x:c>
      <x:c r="K46" s="63" t="str">
        <x:v>Relevé Crédit Agricole Janvier 2026</x:v>
      </x:c>
    </x:row>
    <x:row r="47">
      <x:c r="A47" s="74" t="n">
        <x:v>46046</x:v>
      </x:c>
      <x:c r="B47" s="63" t="str">
        <x:v>Janvier</x:v>
      </x:c>
      <x:c r="C47" s="63" t="str">
        <x:v>Pennylane</x:v>
      </x:c>
      <x:c r="D47" s="63" t="str">
        <x:v>Carte</x:v>
      </x:c>
      <x:c r="E47" s="63" t="str">
        <x:v>Meta - Gael Mallet **5345</x:v>
      </x:c>
      <x:c r="F47" s="63" t="str">
        <x:v>Non</x:v>
      </x:c>
      <x:c r="G47" s="63" t="str">
        <x:v>Décaissement externe</x:v>
      </x:c>
      <x:c r="H47" s="63" t="str">
        <x:v>Communication, logiciels et abonnements</x:v>
      </x:c>
      <x:c r="I47" s="64" t="n">
        <x:v>0</x:v>
      </x:c>
      <x:c r="J47" s="64" t="n">
        <x:v>46</x:v>
      </x:c>
      <x:c r="K47" s="63" t="str">
        <x:v>ReleveCompte_Pennylane_janvier_2026.pdf</x:v>
      </x:c>
    </x:row>
    <x:row r="48">
      <x:c r="A48" s="74" t="n">
        <x:v>46048</x:v>
      </x:c>
      <x:c r="B48" s="63" t="str">
        <x:v>Janvier</x:v>
      </x:c>
      <x:c r="C48" s="63" t="str">
        <x:v>Crédit Agricole</x:v>
      </x:c>
      <x:c r="D48" s="63" t="str">
        <x:v>Prélèvement</x:v>
      </x:c>
      <x:c r="E48" s="63" t="str">
        <x:v>AG2R Reunica</x:v>
      </x:c>
      <x:c r="F48" s="63" t="str">
        <x:v>Non</x:v>
      </x:c>
      <x:c r="G48" s="63" t="str">
        <x:v>Décaissement externe</x:v>
      </x:c>
      <x:c r="H48" s="63" t="str">
        <x:v>Retraite et prévoyance</x:v>
      </x:c>
      <x:c r="I48" s="64" t="n">
        <x:v>0</x:v>
      </x:c>
      <x:c r="J48" s="64" t="n">
        <x:v>502.8</x:v>
      </x:c>
      <x:c r="K48" s="63" t="str">
        <x:v>Relevé Crédit Agricole Janvier 2026</x:v>
      </x:c>
    </x:row>
    <x:row r="49">
      <x:c r="A49" s="74" t="n">
        <x:v>46048</x:v>
      </x:c>
      <x:c r="B49" s="63" t="str">
        <x:v>Janvier</x:v>
      </x:c>
      <x:c r="C49" s="63" t="str">
        <x:v>Crédit Agricole</x:v>
      </x:c>
      <x:c r="D49" s="63" t="str">
        <x:v>Prélèvement</x:v>
      </x:c>
      <x:c r="E49" s="63" t="str">
        <x:v>Allianz Vie TEP</x:v>
      </x:c>
      <x:c r="F49" s="63" t="str">
        <x:v>Non</x:v>
      </x:c>
      <x:c r="G49" s="63" t="str">
        <x:v>Décaissement externe</x:v>
      </x:c>
      <x:c r="H49" s="63" t="str">
        <x:v>Retraite et prévoyance</x:v>
      </x:c>
      <x:c r="I49" s="64" t="n">
        <x:v>0</x:v>
      </x:c>
      <x:c r="J49" s="64" t="n">
        <x:v>128.52</x:v>
      </x:c>
      <x:c r="K49" s="63" t="str">
        <x:v>Relevé Crédit Agricole Janvier 2026</x:v>
      </x:c>
    </x:row>
    <x:row r="50">
      <x:c r="A50" s="74" t="n">
        <x:v>46048</x:v>
      </x:c>
      <x:c r="B50" s="63" t="str">
        <x:v>Janvier</x:v>
      </x:c>
      <x:c r="C50" s="63" t="str">
        <x:v>Crédit Agricole</x:v>
      </x:c>
      <x:c r="D50" s="63" t="str">
        <x:v>Prélèvement</x:v>
      </x:c>
      <x:c r="E50" s="63" t="str">
        <x:v>Allianz Vie TEP</x:v>
      </x:c>
      <x:c r="F50" s="63" t="str">
        <x:v>Non</x:v>
      </x:c>
      <x:c r="G50" s="63" t="str">
        <x:v>Décaissement externe</x:v>
      </x:c>
      <x:c r="H50" s="63" t="str">
        <x:v>Retraite et prévoyance</x:v>
      </x:c>
      <x:c r="I50" s="64" t="n">
        <x:v>0</x:v>
      </x:c>
      <x:c r="J50" s="64" t="n">
        <x:v>191.43</x:v>
      </x:c>
      <x:c r="K50" s="63" t="str">
        <x:v>Relevé Crédit Agricole Janvier 2026</x:v>
      </x:c>
    </x:row>
    <x:row r="51">
      <x:c r="A51" s="74" t="n">
        <x:v>46048</x:v>
      </x:c>
      <x:c r="B51" s="63" t="str">
        <x:v>Janvier</x:v>
      </x:c>
      <x:c r="C51" s="63" t="str">
        <x:v>Pennylane</x:v>
      </x:c>
      <x:c r="D51" s="63" t="str">
        <x:v>Virement</x:v>
      </x:c>
      <x:c r="E51" s="63" t="str">
        <x:v>FA0852 SARL LIOTTA TIERSLIEU DU SUD TOURAINE</x:v>
      </x:c>
      <x:c r="F51" s="63" t="str">
        <x:v>Non</x:v>
      </x:c>
      <x:c r="G51" s="63" t="str">
        <x:v>Décaissement externe</x:v>
      </x:c>
      <x:c r="H51" s="63" t="str">
        <x:v>Autres prestataires et dépenses d'actions</x:v>
      </x:c>
      <x:c r="I51" s="64" t="n">
        <x:v>0</x:v>
      </x:c>
      <x:c r="J51" s="64" t="n">
        <x:v>2000</x:v>
      </x:c>
      <x:c r="K51" s="63" t="str">
        <x:v>ReleveCompte_Pennylane_janvier_2026.pdf</x:v>
      </x:c>
    </x:row>
    <x:row r="52">
      <x:c r="A52" s="74" t="n">
        <x:v>46049</x:v>
      </x:c>
      <x:c r="B52" s="63" t="str">
        <x:v>Janvier</x:v>
      </x:c>
      <x:c r="C52" s="63" t="str">
        <x:v>Pennylane</x:v>
      </x:c>
      <x:c r="D52" s="63" t="str">
        <x:v>Carte</x:v>
      </x:c>
      <x:c r="E52" s="63" t="str">
        <x:v>Amore Mio - Corentin Paquereau **6814</x:v>
      </x:c>
      <x:c r="F52" s="63" t="str">
        <x:v>Non</x:v>
      </x:c>
      <x:c r="G52" s="63" t="str">
        <x:v>Décaissement externe</x:v>
      </x:c>
      <x:c r="H52" s="63" t="str">
        <x:v>Achats, fournitures, restauration et événementiel</x:v>
      </x:c>
      <x:c r="I52" s="64" t="n">
        <x:v>0</x:v>
      </x:c>
      <x:c r="J52" s="64" t="n">
        <x:v>23</x:v>
      </x:c>
      <x:c r="K52" s="63" t="str">
        <x:v>ReleveCompte_Pennylane_janvier_2026.pdf</x:v>
      </x:c>
    </x:row>
    <x:row r="53">
      <x:c r="A53" s="74" t="n">
        <x:v>46050</x:v>
      </x:c>
      <x:c r="B53" s="63" t="str">
        <x:v>Janvier</x:v>
      </x:c>
      <x:c r="C53" s="63" t="str">
        <x:v>Pennylane</x:v>
      </x:c>
      <x:c r="D53" s="63" t="str">
        <x:v>Virement</x:v>
      </x:c>
      <x:c r="E53" s="63" t="str">
        <x:v>2026673537N LOCHES SUD TOURAINE TIERSLIEU DU SUD TOURAINE</x:v>
      </x:c>
      <x:c r="F53" s="63" t="str">
        <x:v>Non</x:v>
      </x:c>
      <x:c r="G53" s="63" t="str">
        <x:v>Décaissement externe</x:v>
      </x:c>
      <x:c r="H53" s="63" t="str">
        <x:v>Autres prestataires et dépenses d'actions</x:v>
      </x:c>
      <x:c r="I53" s="64" t="n">
        <x:v>0</x:v>
      </x:c>
      <x:c r="J53" s="64" t="n">
        <x:v>134.09</x:v>
      </x:c>
      <x:c r="K53" s="63" t="str">
        <x:v>ReleveCompte_Pennylane_janvier_2026.pdf</x:v>
      </x:c>
    </x:row>
    <x:row r="54">
      <x:c r="A54" s="74" t="n">
        <x:v>46050</x:v>
      </x:c>
      <x:c r="B54" s="63" t="str">
        <x:v>Janvier</x:v>
      </x:c>
      <x:c r="C54" s="63" t="str">
        <x:v>Pennylane</x:v>
      </x:c>
      <x:c r="D54" s="63" t="str">
        <x:v>Virement</x:v>
      </x:c>
      <x:c r="E54" s="63" t="str">
        <x:v>Notes de frais - Clementine VANLAER (1)</x:v>
      </x:c>
      <x:c r="F54" s="63" t="str">
        <x:v>Non</x:v>
      </x:c>
      <x:c r="G54" s="63" t="str">
        <x:v>Décaissement externe</x:v>
      </x:c>
      <x:c r="H54" s="63" t="str">
        <x:v>Déplacements, hébergement et notes de frais</x:v>
      </x:c>
      <x:c r="I54" s="64" t="n">
        <x:v>0</x:v>
      </x:c>
      <x:c r="J54" s="64" t="n">
        <x:v>42.56</x:v>
      </x:c>
      <x:c r="K54" s="63" t="str">
        <x:v>ReleveCompte_Pennylane_janvier_2026.pdf</x:v>
      </x:c>
    </x:row>
    <x:row r="55">
      <x:c r="A55" s="74" t="n">
        <x:v>46050</x:v>
      </x:c>
      <x:c r="B55" s="63" t="str">
        <x:v>Janvier</x:v>
      </x:c>
      <x:c r="C55" s="63" t="str">
        <x:v>Pennylane</x:v>
      </x:c>
      <x:c r="D55" s="63" t="str">
        <x:v>Carte</x:v>
      </x:c>
      <x:c r="E55" s="63" t="str">
        <x:v>SAS FOURTI - Corentin Paquereau **6814</x:v>
      </x:c>
      <x:c r="F55" s="63" t="str">
        <x:v>Non</x:v>
      </x:c>
      <x:c r="G55" s="63" t="str">
        <x:v>Décaissement externe</x:v>
      </x:c>
      <x:c r="H55" s="63" t="str">
        <x:v>Achats, fournitures, restauration et événementiel</x:v>
      </x:c>
      <x:c r="I55" s="64" t="n">
        <x:v>0</x:v>
      </x:c>
      <x:c r="J55" s="64" t="n">
        <x:v>13.8</x:v>
      </x:c>
      <x:c r="K55" s="63" t="str">
        <x:v>ReleveCompte_Pennylane_janvier_2026.pdf</x:v>
      </x:c>
    </x:row>
    <x:row r="56">
      <x:c r="A56" s="74" t="n">
        <x:v>46050</x:v>
      </x:c>
      <x:c r="B56" s="63" t="str">
        <x:v>Janvier</x:v>
      </x:c>
      <x:c r="C56" s="63" t="str">
        <x:v>Pennylane</x:v>
      </x:c>
      <x:c r="D56" s="63" t="str">
        <x:v>Carte</x:v>
      </x:c>
      <x:c r="E56" s="63" t="str">
        <x:v>Super U - Corentin Paquereau **6814</x:v>
      </x:c>
      <x:c r="F56" s="63" t="str">
        <x:v>Non</x:v>
      </x:c>
      <x:c r="G56" s="63" t="str">
        <x:v>Décaissement externe</x:v>
      </x:c>
      <x:c r="H56" s="63" t="str">
        <x:v>Achats, fournitures, restauration et événementiel</x:v>
      </x:c>
      <x:c r="I56" s="64" t="n">
        <x:v>0</x:v>
      </x:c>
      <x:c r="J56" s="64" t="n">
        <x:v>22.99</x:v>
      </x:c>
      <x:c r="K56" s="63" t="str">
        <x:v>ReleveCompte_Pennylane_janvier_2026.pdf</x:v>
      </x:c>
    </x:row>
    <x:row r="57">
      <x:c r="A57" s="74" t="n">
        <x:v>46051</x:v>
      </x:c>
      <x:c r="B57" s="63" t="str">
        <x:v>Janvier</x:v>
      </x:c>
      <x:c r="C57" s="63" t="str">
        <x:v>Pennylane</x:v>
      </x:c>
      <x:c r="D57" s="63" t="str">
        <x:v>Virement</x:v>
      </x:c>
      <x:c r="E57" s="63" t="str">
        <x:v>176033713201728 CLEMENT MICKAEL TIERSLIEU DU SUD TOURAINE</x:v>
      </x:c>
      <x:c r="F57" s="63" t="str">
        <x:v>Non</x:v>
      </x:c>
      <x:c r="G57" s="63" t="str">
        <x:v>Décaissement externe</x:v>
      </x:c>
      <x:c r="H57" s="63" t="str">
        <x:v>Salaires nets</x:v>
      </x:c>
      <x:c r="I57" s="64" t="n">
        <x:v>0</x:v>
      </x:c>
      <x:c r="J57" s="64" t="n">
        <x:v>906.86</x:v>
      </x:c>
      <x:c r="K57" s="63" t="str">
        <x:v>ReleveCompte_Pennylane_janvier_2026.pdf</x:v>
      </x:c>
    </x:row>
    <x:row r="58">
      <x:c r="A58" s="74" t="n">
        <x:v>46052</x:v>
      </x:c>
      <x:c r="B58" s="63" t="str">
        <x:v>Janvier</x:v>
      </x:c>
      <x:c r="C58" s="63" t="str">
        <x:v>Crédit Agricole</x:v>
      </x:c>
      <x:c r="D58" s="63" t="str">
        <x:v>Virement interne</x:v>
      </x:c>
      <x:c r="E58" s="63" t="str">
        <x:v>Vir Inst vers Pennylane Tiers-li</x:v>
      </x:c>
      <x:c r="F58" s="63" t="str">
        <x:v>Oui</x:v>
      </x:c>
      <x:c r="G58" s="63" t="str">
        <x:v>Virement interne neutralisé</x:v>
      </x:c>
      <x:c r="H58" s="63" t="str">
        <x:v>Virements internes</x:v>
      </x:c>
      <x:c r="I58" s="64" t="n">
        <x:v>0</x:v>
      </x:c>
      <x:c r="J58" s="64" t="n">
        <x:v>10000</x:v>
      </x:c>
      <x:c r="K58" s="63" t="str">
        <x:v>Relevé Crédit Agricole Janvier 2026</x:v>
      </x:c>
    </x:row>
    <x:row r="59">
      <x:c r="A59" s="74" t="n">
        <x:v>46052</x:v>
      </x:c>
      <x:c r="B59" s="63" t="str">
        <x:v>Janvier</x:v>
      </x:c>
      <x:c r="C59" s="63" t="str">
        <x:v>Pennylane</x:v>
      </x:c>
      <x:c r="D59" s="63" t="str">
        <x:v>Virement</x:v>
      </x:c>
      <x:c r="E59" s="63" t="str">
        <x:v>003 VANLAER CLEMENTINE TIERSLIEU DU SUD TOURAINE</x:v>
      </x:c>
      <x:c r="F59" s="63" t="str">
        <x:v>Non</x:v>
      </x:c>
      <x:c r="G59" s="63" t="str">
        <x:v>Décaissement externe</x:v>
      </x:c>
      <x:c r="H59" s="63" t="str">
        <x:v>Salaires nets</x:v>
      </x:c>
      <x:c r="I59" s="64" t="n">
        <x:v>0</x:v>
      </x:c>
      <x:c r="J59" s="64" t="n">
        <x:v>2168.53</x:v>
      </x:c>
      <x:c r="K59" s="63" t="str">
        <x:v>ReleveCompte_Pennylane_janvier_2026.pdf</x:v>
      </x:c>
    </x:row>
    <x:row r="60">
      <x:c r="A60" s="74" t="n">
        <x:v>46052</x:v>
      </x:c>
      <x:c r="B60" s="63" t="str">
        <x:v>Janvier</x:v>
      </x:c>
      <x:c r="C60" s="63" t="str">
        <x:v>Pennylane</x:v>
      </x:c>
      <x:c r="D60" s="63" t="str">
        <x:v>Virement</x:v>
      </x:c>
      <x:c r="E60" s="63" t="str">
        <x:v>100078509228359 PAQUEREAU Corentin TIERSLIEU DU SUD TOURAINE</x:v>
      </x:c>
      <x:c r="F60" s="63" t="str">
        <x:v>Non</x:v>
      </x:c>
      <x:c r="G60" s="63" t="str">
        <x:v>Décaissement externe</x:v>
      </x:c>
      <x:c r="H60" s="63" t="str">
        <x:v>Salaires nets</x:v>
      </x:c>
      <x:c r="I60" s="64" t="n">
        <x:v>0</x:v>
      </x:c>
      <x:c r="J60" s="64" t="n">
        <x:v>1676.13</x:v>
      </x:c>
      <x:c r="K60" s="63" t="str">
        <x:v>ReleveCompte_Pennylane_janvier_2026.pdf</x:v>
      </x:c>
    </x:row>
    <x:row r="61">
      <x:c r="A61" s="74" t="n">
        <x:v>46052</x:v>
      </x:c>
      <x:c r="B61" s="63" t="str">
        <x:v>Janvier</x:v>
      </x:c>
      <x:c r="C61" s="63" t="str">
        <x:v>Pennylane</x:v>
      </x:c>
      <x:c r="D61" s="63" t="str">
        <x:v>Virement</x:v>
      </x:c>
      <x:c r="E61" s="63" t="str">
        <x:v>279053726113150 DAGORN CELINE TIERSLIEU DU SUD TOURAINE</x:v>
      </x:c>
      <x:c r="F61" s="63" t="str">
        <x:v>Non</x:v>
      </x:c>
      <x:c r="G61" s="63" t="str">
        <x:v>Décaissement externe</x:v>
      </x:c>
      <x:c r="H61" s="63" t="str">
        <x:v>Salaires nets</x:v>
      </x:c>
      <x:c r="I61" s="64" t="n">
        <x:v>0</x:v>
      </x:c>
      <x:c r="J61" s="64" t="n">
        <x:v>608.62</x:v>
      </x:c>
      <x:c r="K61" s="63" t="str">
        <x:v>ReleveCompte_Pennylane_janvier_2026.pdf</x:v>
      </x:c>
    </x:row>
    <x:row r="62">
      <x:c r="A62" s="74" t="n">
        <x:v>46052</x:v>
      </x:c>
      <x:c r="B62" s="63" t="str">
        <x:v>Janvier</x:v>
      </x:c>
      <x:c r="C62" s="63" t="str">
        <x:v>Pennylane</x:v>
      </x:c>
      <x:c r="D62" s="63" t="str">
        <x:v>Carte</x:v>
      </x:c>
      <x:c r="E62" s="63" t="str">
        <x:v>Amazon - Gael Mallet **5345</x:v>
      </x:c>
      <x:c r="F62" s="63" t="str">
        <x:v>Non</x:v>
      </x:c>
      <x:c r="G62" s="63" t="str">
        <x:v>Décaissement externe</x:v>
      </x:c>
      <x:c r="H62" s="63" t="str">
        <x:v>Achats, fournitures, restauration et événementiel</x:v>
      </x:c>
      <x:c r="I62" s="64" t="n">
        <x:v>0</x:v>
      </x:c>
      <x:c r="J62" s="64" t="n">
        <x:v>9.49</x:v>
      </x:c>
      <x:c r="K62" s="63" t="str">
        <x:v>ReleveCompte_Pennylane_janvier_2026.pdf</x:v>
      </x:c>
    </x:row>
    <x:row r="63">
      <x:c r="A63" s="74" t="n">
        <x:v>46052</x:v>
      </x:c>
      <x:c r="B63" s="63" t="str">
        <x:v>Janvier</x:v>
      </x:c>
      <x:c r="C63" s="63" t="str">
        <x:v>Pennylane</x:v>
      </x:c>
      <x:c r="D63" s="63" t="str">
        <x:v>Carte</x:v>
      </x:c>
      <x:c r="E63" s="63" t="str">
        <x:v>Amazon - Gael Mallet **5345</x:v>
      </x:c>
      <x:c r="F63" s="63" t="str">
        <x:v>Non</x:v>
      </x:c>
      <x:c r="G63" s="63" t="str">
        <x:v>Décaissement externe</x:v>
      </x:c>
      <x:c r="H63" s="63" t="str">
        <x:v>Achats, fournitures, restauration et événementiel</x:v>
      </x:c>
      <x:c r="I63" s="64" t="n">
        <x:v>0</x:v>
      </x:c>
      <x:c r="J63" s="64" t="n">
        <x:v>142.72</x:v>
      </x:c>
      <x:c r="K63" s="63" t="str">
        <x:v>ReleveCompte_Pennylane_janvier_2026.pdf</x:v>
      </x:c>
    </x:row>
    <x:row r="64">
      <x:c r="A64" s="74" t="n">
        <x:v>46052</x:v>
      </x:c>
      <x:c r="B64" s="63" t="str">
        <x:v>Janvier</x:v>
      </x:c>
      <x:c r="C64" s="63" t="str">
        <x:v>Pennylane</x:v>
      </x:c>
      <x:c r="D64" s="63" t="str">
        <x:v>Carte</x:v>
      </x:c>
      <x:c r="E64" s="63" t="str">
        <x:v>Amazon - Gael Mallet **5345</x:v>
      </x:c>
      <x:c r="F64" s="63" t="str">
        <x:v>Non</x:v>
      </x:c>
      <x:c r="G64" s="63" t="str">
        <x:v>Décaissement externe</x:v>
      </x:c>
      <x:c r="H64" s="63" t="str">
        <x:v>Achats, fournitures, restauration et événementiel</x:v>
      </x:c>
      <x:c r="I64" s="64" t="n">
        <x:v>0</x:v>
      </x:c>
      <x:c r="J64" s="64" t="n">
        <x:v>7.59</x:v>
      </x:c>
      <x:c r="K64" s="63" t="str">
        <x:v>ReleveCompte_Pennylane_janvier_2026.pdf</x:v>
      </x:c>
    </x:row>
    <x:row r="65">
      <x:c r="A65" s="74" t="n">
        <x:v>46052</x:v>
      </x:c>
      <x:c r="B65" s="63" t="str">
        <x:v>Janvier</x:v>
      </x:c>
      <x:c r="C65" s="63" t="str">
        <x:v>Pennylane</x:v>
      </x:c>
      <x:c r="D65" s="63" t="str">
        <x:v>Carte</x:v>
      </x:c>
      <x:c r="E65" s="63" t="str">
        <x:v>HelloAsso - Celine Dagorn **5941</x:v>
      </x:c>
      <x:c r="F65" s="63" t="str">
        <x:v>Non</x:v>
      </x:c>
      <x:c r="G65" s="63" t="str">
        <x:v>Décaissement externe</x:v>
      </x:c>
      <x:c r="H65" s="63" t="str">
        <x:v>Communication, logiciels et abonnements</x:v>
      </x:c>
      <x:c r="I65" s="64" t="n">
        <x:v>0</x:v>
      </x:c>
      <x:c r="J65" s="64" t="n">
        <x:v>24.25</x:v>
      </x:c>
      <x:c r="K65" s="63" t="str">
        <x:v>ReleveCompte_Pennylane_janvier_2026.pdf</x:v>
      </x:c>
    </x:row>
    <x:row r="66">
      <x:c r="A66" s="74" t="n">
        <x:v>46052</x:v>
      </x:c>
      <x:c r="B66" s="63" t="str">
        <x:v>Janvier</x:v>
      </x:c>
      <x:c r="C66" s="63" t="str">
        <x:v>Pennylane</x:v>
      </x:c>
      <x:c r="D66" s="63" t="str">
        <x:v>Virement</x:v>
      </x:c>
      <x:c r="E66" s="63" t="str">
        <x:v>Transfer from ASSOC. TIERS-LIEU DU SUD TOURAINE</x:v>
      </x:c>
      <x:c r="F66" s="63" t="str">
        <x:v>Oui</x:v>
      </x:c>
      <x:c r="G66" s="63" t="str">
        <x:v>Virement interne neutralisé</x:v>
      </x:c>
      <x:c r="H66" s="63" t="str">
        <x:v>Virements internes</x:v>
      </x:c>
      <x:c r="I66" s="64" t="n">
        <x:v>10000</x:v>
      </x:c>
      <x:c r="J66" s="64" t="n">
        <x:v>0</x:v>
      </x:c>
      <x:c r="K66" s="63" t="str">
        <x:v>ReleveCompte_Pennylane_janvier_2026.pdf</x:v>
      </x:c>
    </x:row>
    <x:row r="67">
      <x:c r="A67" s="74" t="n">
        <x:v>46054</x:v>
      </x:c>
      <x:c r="B67" s="63" t="str">
        <x:v>Février</x:v>
      </x:c>
      <x:c r="C67" s="63" t="str">
        <x:v>Pennylane</x:v>
      </x:c>
      <x:c r="D67" s="63" t="str">
        <x:v>Carte</x:v>
      </x:c>
      <x:c r="E67" s="63" t="str">
        <x:v>Pennylane - Gael Mallet **5345</x:v>
      </x:c>
      <x:c r="F67" s="63" t="str">
        <x:v>Non</x:v>
      </x:c>
      <x:c r="G67" s="63" t="str">
        <x:v>Décaissement externe</x:v>
      </x:c>
      <x:c r="H67" s="63" t="str">
        <x:v>Communication, logiciels et abonnements</x:v>
      </x:c>
      <x:c r="I67" s="64" t="n">
        <x:v>0</x:v>
      </x:c>
      <x:c r="J67" s="64" t="n">
        <x:v>94.8</x:v>
      </x:c>
      <x:c r="K67" s="63" t="str">
        <x:v>ReleveCompte_Pennylane__fevrier_2026.pdf</x:v>
      </x:c>
    </x:row>
    <x:row r="68">
      <x:c r="A68" s="74" t="n">
        <x:v>46055</x:v>
      </x:c>
      <x:c r="B68" s="63" t="str">
        <x:v>Février</x:v>
      </x:c>
      <x:c r="C68" s="63" t="str">
        <x:v>Pennylane</x:v>
      </x:c>
      <x:c r="D68" s="63" t="str">
        <x:v>Carte</x:v>
      </x:c>
      <x:c r="E68" s="63" t="str">
        <x:v>La Poste - Celine Dagorn **5941</x:v>
      </x:c>
      <x:c r="F68" s="63" t="str">
        <x:v>Non</x:v>
      </x:c>
      <x:c r="G68" s="63" t="str">
        <x:v>Décaissement externe</x:v>
      </x:c>
      <x:c r="H68" s="63" t="str">
        <x:v>Communication, logiciels et abonnements</x:v>
      </x:c>
      <x:c r="I68" s="64" t="n">
        <x:v>0</x:v>
      </x:c>
      <x:c r="J68" s="64" t="n">
        <x:v>9.1</x:v>
      </x:c>
      <x:c r="K68" s="63" t="str">
        <x:v>ReleveCompte_Pennylane__fevrier_2026.pdf</x:v>
      </x:c>
    </x:row>
    <x:row r="69">
      <x:c r="A69" s="74" t="n">
        <x:v>46056</x:v>
      </x:c>
      <x:c r="B69" s="63" t="str">
        <x:v>Février</x:v>
      </x:c>
      <x:c r="C69" s="63" t="str">
        <x:v>Pennylane</x:v>
      </x:c>
      <x:c r="D69" s="63" t="str">
        <x:v>Virement</x:v>
      </x:c>
      <x:c r="E69" s="63" t="str">
        <x:v>Carburant et peage 26012026 BILBAULT REGIS TIERSLIEU DU SUD</x:v>
      </x:c>
      <x:c r="F69" s="63" t="str">
        <x:v>Non</x:v>
      </x:c>
      <x:c r="G69" s="63" t="str">
        <x:v>Décaissement externe</x:v>
      </x:c>
      <x:c r="H69" s="63" t="str">
        <x:v>Déplacements, hébergement et notes de frais</x:v>
      </x:c>
      <x:c r="I69" s="64" t="n">
        <x:v>0</x:v>
      </x:c>
      <x:c r="J69" s="64" t="n">
        <x:v>166.65</x:v>
      </x:c>
      <x:c r="K69" s="63" t="str">
        <x:v>ReleveCompte_Pennylane__fevrier_2026.pdf</x:v>
      </x:c>
    </x:row>
    <x:row r="70">
      <x:c r="A70" s="74" t="n">
        <x:v>46056</x:v>
      </x:c>
      <x:c r="B70" s="63" t="str">
        <x:v>Février</x:v>
      </x:c>
      <x:c r="C70" s="63" t="str">
        <x:v>Pennylane</x:v>
      </x:c>
      <x:c r="D70" s="63" t="str">
        <x:v>Virement</x:v>
      </x:c>
      <x:c r="E70" s="63" t="str">
        <x:v>Notes de frais - Corentin Paquereau (1)</x:v>
      </x:c>
      <x:c r="F70" s="63" t="str">
        <x:v>Non</x:v>
      </x:c>
      <x:c r="G70" s="63" t="str">
        <x:v>Décaissement externe</x:v>
      </x:c>
      <x:c r="H70" s="63" t="str">
        <x:v>Déplacements, hébergement et notes de frais</x:v>
      </x:c>
      <x:c r="I70" s="64" t="n">
        <x:v>0</x:v>
      </x:c>
      <x:c r="J70" s="64" t="n">
        <x:v>21.21</x:v>
      </x:c>
      <x:c r="K70" s="63" t="str">
        <x:v>ReleveCompte_Pennylane__fevrier_2026.pdf</x:v>
      </x:c>
    </x:row>
    <x:row r="71">
      <x:c r="A71" s="74" t="n">
        <x:v>46056</x:v>
      </x:c>
      <x:c r="B71" s="63" t="str">
        <x:v>Février</x:v>
      </x:c>
      <x:c r="C71" s="63" t="str">
        <x:v>Pennylane</x:v>
      </x:c>
      <x:c r="D71" s="63" t="str">
        <x:v>Virement</x:v>
      </x:c>
      <x:c r="E71" s="63" t="str">
        <x:v>location vehicule 26012026 BILBAULT REGIS TIERSLIEU DU SUD TOURAINE</x:v>
      </x:c>
      <x:c r="F71" s="63" t="str">
        <x:v>Non</x:v>
      </x:c>
      <x:c r="G71" s="63" t="str">
        <x:v>Décaissement externe</x:v>
      </x:c>
      <x:c r="H71" s="63" t="str">
        <x:v>Déplacements, hébergement et notes de frais</x:v>
      </x:c>
      <x:c r="I71" s="64" t="n">
        <x:v>0</x:v>
      </x:c>
      <x:c r="J71" s="64" t="n">
        <x:v>197.12</x:v>
      </x:c>
      <x:c r="K71" s="63" t="str">
        <x:v>ReleveCompte_Pennylane__fevrier_2026.pdf</x:v>
      </x:c>
    </x:row>
    <x:row r="72">
      <x:c r="A72" s="74" t="n">
        <x:v>46058</x:v>
      </x:c>
      <x:c r="B72" s="63" t="str">
        <x:v>Février</x:v>
      </x:c>
      <x:c r="C72" s="63" t="str">
        <x:v>Pennylane</x:v>
      </x:c>
      <x:c r="D72" s="63" t="str">
        <x:v>Virement</x:v>
      </x:c>
      <x:c r="E72" s="63" t="str">
        <x:v>FA2500494 DUTHOO SOC INFOR G G TIERSLIEU DU SUD TOURAINE</x:v>
      </x:c>
      <x:c r="F72" s="63" t="str">
        <x:v>Non</x:v>
      </x:c>
      <x:c r="G72" s="63" t="str">
        <x:v>Décaissement externe</x:v>
      </x:c>
      <x:c r="H72" s="63" t="str">
        <x:v>Prestations informatiques / Duthoo</x:v>
      </x:c>
      <x:c r="I72" s="64" t="n">
        <x:v>0</x:v>
      </x:c>
      <x:c r="J72" s="64" t="n">
        <x:v>1800</x:v>
      </x:c>
      <x:c r="K72" s="63" t="str">
        <x:v>ReleveCompte_Pennylane__fevrier_2026.pdf</x:v>
      </x:c>
    </x:row>
    <x:row r="73">
      <x:c r="A73" s="74" t="n">
        <x:v>46058</x:v>
      </x:c>
      <x:c r="B73" s="63" t="str">
        <x:v>Février</x:v>
      </x:c>
      <x:c r="C73" s="63" t="str">
        <x:v>Pennylane</x:v>
      </x:c>
      <x:c r="D73" s="63" t="str">
        <x:v>Carte</x:v>
      </x:c>
      <x:c r="E73" s="63" t="str">
        <x:v>Leroy Merlin - Gael Mallet **5345</x:v>
      </x:c>
      <x:c r="F73" s="63" t="str">
        <x:v>Non</x:v>
      </x:c>
      <x:c r="G73" s="63" t="str">
        <x:v>Décaissement externe</x:v>
      </x:c>
      <x:c r="H73" s="63" t="str">
        <x:v>Achats, fournitures, restauration et événementiel</x:v>
      </x:c>
      <x:c r="I73" s="64" t="n">
        <x:v>0</x:v>
      </x:c>
      <x:c r="J73" s="64" t="n">
        <x:v>10.89</x:v>
      </x:c>
      <x:c r="K73" s="63" t="str">
        <x:v>ReleveCompte_Pennylane__fevrier_2026.pdf</x:v>
      </x:c>
    </x:row>
    <x:row r="74">
      <x:c r="A74" s="74" t="n">
        <x:v>46058</x:v>
      </x:c>
      <x:c r="B74" s="63" t="str">
        <x:v>Février</x:v>
      </x:c>
      <x:c r="C74" s="63" t="str">
        <x:v>Pennylane</x:v>
      </x:c>
      <x:c r="D74" s="63" t="str">
        <x:v>Virement</x:v>
      </x:c>
      <x:c r="E74" s="63" t="str">
        <x:v>Notes de frais - Clementine VANLAER (1)</x:v>
      </x:c>
      <x:c r="F74" s="63" t="str">
        <x:v>Non</x:v>
      </x:c>
      <x:c r="G74" s="63" t="str">
        <x:v>Décaissement externe</x:v>
      </x:c>
      <x:c r="H74" s="63" t="str">
        <x:v>Déplacements, hébergement et notes de frais</x:v>
      </x:c>
      <x:c r="I74" s="64" t="n">
        <x:v>0</x:v>
      </x:c>
      <x:c r="J74" s="64" t="n">
        <x:v>42.56</x:v>
      </x:c>
      <x:c r="K74" s="63" t="str">
        <x:v>ReleveCompte_Pennylane__fevrier_2026.pdf</x:v>
      </x:c>
    </x:row>
    <x:row r="75">
      <x:c r="A75" s="74" t="n">
        <x:v>46058</x:v>
      </x:c>
      <x:c r="B75" s="63" t="str">
        <x:v>Février</x:v>
      </x:c>
      <x:c r="C75" s="63" t="str">
        <x:v>Pennylane</x:v>
      </x:c>
      <x:c r="D75" s="63" t="str">
        <x:v>Virement</x:v>
      </x:c>
      <x:c r="E75" s="63" t="str">
        <x:v>Notes de frais - Corentin Paquereau (3)</x:v>
      </x:c>
      <x:c r="F75" s="63" t="str">
        <x:v>Non</x:v>
      </x:c>
      <x:c r="G75" s="63" t="str">
        <x:v>Décaissement externe</x:v>
      </x:c>
      <x:c r="H75" s="63" t="str">
        <x:v>Déplacements, hébergement et notes de frais</x:v>
      </x:c>
      <x:c r="I75" s="64" t="n">
        <x:v>0</x:v>
      </x:c>
      <x:c r="J75" s="64" t="n">
        <x:v>87.27</x:v>
      </x:c>
      <x:c r="K75" s="63" t="str">
        <x:v>ReleveCompte_Pennylane__fevrier_2026.pdf</x:v>
      </x:c>
    </x:row>
    <x:row r="76">
      <x:c r="A76" s="74" t="n">
        <x:v>46059</x:v>
      </x:c>
      <x:c r="B76" s="63" t="str">
        <x:v>Février</x:v>
      </x:c>
      <x:c r="C76" s="63" t="str">
        <x:v>Pennylane</x:v>
      </x:c>
      <x:c r="D76" s="63" t="str">
        <x:v>Carte</x:v>
      </x:c>
      <x:c r="E76" s="63" t="str">
        <x:v>La Nouvelle République - Gael Mallet **5345</x:v>
      </x:c>
      <x:c r="F76" s="63" t="str">
        <x:v>Non</x:v>
      </x:c>
      <x:c r="G76" s="63" t="str">
        <x:v>Décaissement externe</x:v>
      </x:c>
      <x:c r="H76" s="63" t="str">
        <x:v>Communication, logiciels et abonnements</x:v>
      </x:c>
      <x:c r="I76" s="64" t="n">
        <x:v>0</x:v>
      </x:c>
      <x:c r="J76" s="64" t="n">
        <x:v>14.9</x:v>
      </x:c>
      <x:c r="K76" s="63" t="str">
        <x:v>ReleveCompte_Pennylane__fevrier_2026.pdf</x:v>
      </x:c>
    </x:row>
    <x:row r="77">
      <x:c r="A77" s="74" t="n">
        <x:v>46059</x:v>
      </x:c>
      <x:c r="B77" s="63" t="str">
        <x:v>Février</x:v>
      </x:c>
      <x:c r="C77" s="63" t="str">
        <x:v>Pennylane</x:v>
      </x:c>
      <x:c r="D77" s="63" t="str">
        <x:v>Carte</x:v>
      </x:c>
      <x:c r="E77" s="63" t="str">
        <x:v>Point.P - Gael Mallet **5345</x:v>
      </x:c>
      <x:c r="F77" s="63" t="str">
        <x:v>Non</x:v>
      </x:c>
      <x:c r="G77" s="63" t="str">
        <x:v>Décaissement externe</x:v>
      </x:c>
      <x:c r="H77" s="63" t="str">
        <x:v>Achats, fournitures, restauration et événementiel</x:v>
      </x:c>
      <x:c r="I77" s="64" t="n">
        <x:v>0</x:v>
      </x:c>
      <x:c r="J77" s="64" t="n">
        <x:v>20.88</x:v>
      </x:c>
      <x:c r="K77" s="63" t="str">
        <x:v>ReleveCompte_Pennylane__fevrier_2026.pdf</x:v>
      </x:c>
    </x:row>
    <x:row r="78">
      <x:c r="A78" s="74" t="n">
        <x:v>46059</x:v>
      </x:c>
      <x:c r="B78" s="63" t="str">
        <x:v>Février</x:v>
      </x:c>
      <x:c r="C78" s="63" t="str">
        <x:v>Pennylane</x:v>
      </x:c>
      <x:c r="D78" s="63" t="str">
        <x:v>Carte</x:v>
      </x:c>
      <x:c r="E78" s="63" t="str">
        <x:v>SAVEURS LOCHOIS - Corentin Paquereau **6814</x:v>
      </x:c>
      <x:c r="F78" s="63" t="str">
        <x:v>Non</x:v>
      </x:c>
      <x:c r="G78" s="63" t="str">
        <x:v>Décaissement externe</x:v>
      </x:c>
      <x:c r="H78" s="63" t="str">
        <x:v>Achats, fournitures, restauration et événementiel</x:v>
      </x:c>
      <x:c r="I78" s="64" t="n">
        <x:v>0</x:v>
      </x:c>
      <x:c r="J78" s="64" t="n">
        <x:v>28.84</x:v>
      </x:c>
      <x:c r="K78" s="63" t="str">
        <x:v>ReleveCompte_Pennylane__fevrier_2026.pdf</x:v>
      </x:c>
    </x:row>
    <x:row r="79">
      <x:c r="A79" s="74" t="n">
        <x:v>46060</x:v>
      </x:c>
      <x:c r="B79" s="63" t="str">
        <x:v>Février</x:v>
      </x:c>
      <x:c r="C79" s="63" t="str">
        <x:v>Pennylane</x:v>
      </x:c>
      <x:c r="D79" s="63" t="str">
        <x:v>Carte</x:v>
      </x:c>
      <x:c r="E79" s="63" t="str">
        <x:v>SAS FHL - Gael Mallet **5345</x:v>
      </x:c>
      <x:c r="F79" s="63" t="str">
        <x:v>Non</x:v>
      </x:c>
      <x:c r="G79" s="63" t="str">
        <x:v>Décaissement externe</x:v>
      </x:c>
      <x:c r="H79" s="63" t="str">
        <x:v>Achats, fournitures, restauration et événementiel</x:v>
      </x:c>
      <x:c r="I79" s="64" t="n">
        <x:v>0</x:v>
      </x:c>
      <x:c r="J79" s="64" t="n">
        <x:v>73</x:v>
      </x:c>
      <x:c r="K79" s="63" t="str">
        <x:v>ReleveCompte_Pennylane__fevrier_2026.pdf</x:v>
      </x:c>
    </x:row>
    <x:row r="80">
      <x:c r="A80" s="74" t="n">
        <x:v>46061</x:v>
      </x:c>
      <x:c r="B80" s="63" t="str">
        <x:v>Février</x:v>
      </x:c>
      <x:c r="C80" s="63" t="str">
        <x:v>Pennylane</x:v>
      </x:c>
      <x:c r="D80" s="63" t="str">
        <x:v>Carte</x:v>
      </x:c>
      <x:c r="E80" s="63" t="str">
        <x:v>Meta - Gael Mallet **5345</x:v>
      </x:c>
      <x:c r="F80" s="63" t="str">
        <x:v>Non</x:v>
      </x:c>
      <x:c r="G80" s="63" t="str">
        <x:v>Décaissement externe</x:v>
      </x:c>
      <x:c r="H80" s="63" t="str">
        <x:v>Communication, logiciels et abonnements</x:v>
      </x:c>
      <x:c r="I80" s="64" t="n">
        <x:v>0</x:v>
      </x:c>
      <x:c r="J80" s="64" t="n">
        <x:v>46.02</x:v>
      </x:c>
      <x:c r="K80" s="63" t="str">
        <x:v>ReleveCompte_Pennylane__fevrier_2026.pdf</x:v>
      </x:c>
    </x:row>
    <x:row r="81">
      <x:c r="A81" s="74" t="n">
        <x:v>46061</x:v>
      </x:c>
      <x:c r="B81" s="63" t="str">
        <x:v>Février</x:v>
      </x:c>
      <x:c r="C81" s="63" t="str">
        <x:v>Pennylane</x:v>
      </x:c>
      <x:c r="D81" s="63" t="str">
        <x:v>Carte</x:v>
      </x:c>
      <x:c r="E81" s="63" t="str">
        <x:v>Plaud.ai - Gael Mallet **5345</x:v>
      </x:c>
      <x:c r="F81" s="63" t="str">
        <x:v>Non</x:v>
      </x:c>
      <x:c r="G81" s="63" t="str">
        <x:v>Décaissement externe</x:v>
      </x:c>
      <x:c r="H81" s="63" t="str">
        <x:v>Communication, logiciels et abonnements</x:v>
      </x:c>
      <x:c r="I81" s="64" t="n">
        <x:v>0</x:v>
      </x:c>
      <x:c r="J81" s="64" t="n">
        <x:v>110.99</x:v>
      </x:c>
      <x:c r="K81" s="63" t="str">
        <x:v>ReleveCompte_Pennylane__fevrier_2026.pdf</x:v>
      </x:c>
    </x:row>
    <x:row r="82">
      <x:c r="A82" s="74" t="n">
        <x:v>46062</x:v>
      </x:c>
      <x:c r="B82" s="63" t="str">
        <x:v>Février</x:v>
      </x:c>
      <x:c r="C82" s="63" t="str">
        <x:v>Crédit Agricole</x:v>
      </x:c>
      <x:c r="D82" s="63" t="str">
        <x:v>Virement</x:v>
      </x:c>
      <x:c r="E82" s="63" t="str">
        <x:v>CPAM Tours</x:v>
      </x:c>
      <x:c r="F82" s="63" t="str">
        <x:v>Non</x:v>
      </x:c>
      <x:c r="G82" s="63" t="str">
        <x:v>Encaissement externe</x:v>
      </x:c>
      <x:c r="H82" s="63" t="str">
        <x:v>Remboursements et avoirs</x:v>
      </x:c>
      <x:c r="I82" s="64" t="n">
        <x:v>137.7</x:v>
      </x:c>
      <x:c r="J82" s="64" t="n">
        <x:v>0</x:v>
      </x:c>
      <x:c r="K82" s="63" t="str">
        <x:v>Relevé Crédit Agricole Février 2026</x:v>
      </x:c>
    </x:row>
    <x:row r="83">
      <x:c r="A83" s="74" t="n">
        <x:v>46062</x:v>
      </x:c>
      <x:c r="B83" s="63" t="str">
        <x:v>Février</x:v>
      </x:c>
      <x:c r="C83" s="63" t="str">
        <x:v>Pennylane</x:v>
      </x:c>
      <x:c r="D83" s="63" t="str">
        <x:v>Virement</x:v>
      </x:c>
      <x:c r="E83" s="63" t="str">
        <x:v>F202601431 O3 EXPERTISE COMPTABLE TIERSLIEU DU SUD TOURAINE</x:v>
      </x:c>
      <x:c r="F83" s="63" t="str">
        <x:v>Non</x:v>
      </x:c>
      <x:c r="G83" s="63" t="str">
        <x:v>Décaissement externe</x:v>
      </x:c>
      <x:c r="H83" s="63" t="str">
        <x:v>Expertise comptable</x:v>
      </x:c>
      <x:c r="I83" s="64" t="n">
        <x:v>0</x:v>
      </x:c>
      <x:c r="J83" s="64" t="n">
        <x:v>1440</x:v>
      </x:c>
      <x:c r="K83" s="63" t="str">
        <x:v>ReleveCompte_Pennylane__fevrier_2026.pdf</x:v>
      </x:c>
    </x:row>
    <x:row r="84">
      <x:c r="A84" s="74" t="n">
        <x:v>46062</x:v>
      </x:c>
      <x:c r="B84" s="63" t="str">
        <x:v>Février</x:v>
      </x:c>
      <x:c r="C84" s="63" t="str">
        <x:v>Pennylane</x:v>
      </x:c>
      <x:c r="D84" s="63" t="str">
        <x:v>Virement</x:v>
      </x:c>
      <x:c r="E84" s="63" t="str">
        <x:v>F202601466 O3 EXPERTISE COMPTABLE TIERSLIEU DU SUD TOURAINE</x:v>
      </x:c>
      <x:c r="F84" s="63" t="str">
        <x:v>Non</x:v>
      </x:c>
      <x:c r="G84" s="63" t="str">
        <x:v>Décaissement externe</x:v>
      </x:c>
      <x:c r="H84" s="63" t="str">
        <x:v>Expertise comptable</x:v>
      </x:c>
      <x:c r="I84" s="64" t="n">
        <x:v>0</x:v>
      </x:c>
      <x:c r="J84" s="64" t="n">
        <x:v>235.2</x:v>
      </x:c>
      <x:c r="K84" s="63" t="str">
        <x:v>ReleveCompte_Pennylane__fevrier_2026.pdf</x:v>
      </x:c>
    </x:row>
    <x:row r="85">
      <x:c r="A85" s="74" t="n">
        <x:v>46064</x:v>
      </x:c>
      <x:c r="B85" s="63" t="str">
        <x:v>Février</x:v>
      </x:c>
      <x:c r="C85" s="63" t="str">
        <x:v>Pennylane</x:v>
      </x:c>
      <x:c r="D85" s="63" t="str">
        <x:v>Virement</x:v>
      </x:c>
      <x:c r="E85" s="63" t="str">
        <x:v>FA0130372 APST37 TIERSLIEU DU SUD TOURAINE</x:v>
      </x:c>
      <x:c r="F85" s="63" t="str">
        <x:v>Non</x:v>
      </x:c>
      <x:c r="G85" s="63" t="str">
        <x:v>Décaissement externe</x:v>
      </x:c>
      <x:c r="H85" s="63" t="str">
        <x:v>Médecine du travail / frais de personnel</x:v>
      </x:c>
      <x:c r="I85" s="64" t="n">
        <x:v>0</x:v>
      </x:c>
      <x:c r="J85" s="64" t="n">
        <x:v>513.6</x:v>
      </x:c>
      <x:c r="K85" s="63" t="str">
        <x:v>ReleveCompte_Pennylane__fevrier_2026.pdf</x:v>
      </x:c>
    </x:row>
    <x:row r="86">
      <x:c r="A86" s="74" t="n">
        <x:v>46065</x:v>
      </x:c>
      <x:c r="B86" s="63" t="str">
        <x:v>Février</x:v>
      </x:c>
      <x:c r="C86" s="63" t="str">
        <x:v>Crédit Agricole</x:v>
      </x:c>
      <x:c r="D86" s="63" t="str">
        <x:v>Virement</x:v>
      </x:c>
      <x:c r="E86" s="63" t="str">
        <x:v>CPAM Tours</x:v>
      </x:c>
      <x:c r="F86" s="63" t="str">
        <x:v>Non</x:v>
      </x:c>
      <x:c r="G86" s="63" t="str">
        <x:v>Encaissement externe</x:v>
      </x:c>
      <x:c r="H86" s="63" t="str">
        <x:v>Remboursements et avoirs</x:v>
      </x:c>
      <x:c r="I86" s="64" t="n">
        <x:v>550.8</x:v>
      </x:c>
      <x:c r="J86" s="64" t="n">
        <x:v>0</x:v>
      </x:c>
      <x:c r="K86" s="63" t="str">
        <x:v>Relevé Crédit Agricole Février 2026</x:v>
      </x:c>
    </x:row>
    <x:row r="87">
      <x:c r="A87" s="74" t="n">
        <x:v>46065</x:v>
      </x:c>
      <x:c r="B87" s="63" t="str">
        <x:v>Février</x:v>
      </x:c>
      <x:c r="C87" s="63" t="str">
        <x:v>Pennylane</x:v>
      </x:c>
      <x:c r="D87" s="63" t="str">
        <x:v>Virement</x:v>
      </x:c>
      <x:c r="E87" s="63" t="str">
        <x:v>Virement pour ASSO Tiers-Lieu</x:v>
      </x:c>
      <x:c r="F87" s="63" t="str">
        <x:v>Non</x:v>
      </x:c>
      <x:c r="G87" s="63" t="str">
        <x:v>Encaissement externe</x:v>
      </x:c>
      <x:c r="H87" s="63" t="str">
        <x:v>Autres encaissements / apports</x:v>
      </x:c>
      <x:c r="I87" s="64" t="n">
        <x:v>3000</x:v>
      </x:c>
      <x:c r="J87" s="64" t="n">
        <x:v>0</x:v>
      </x:c>
      <x:c r="K87" s="63" t="str">
        <x:v>ReleveCompte_Pennylane__fevrier_2026.pdf</x:v>
      </x:c>
    </x:row>
    <x:row r="88">
      <x:c r="A88" s="74" t="n">
        <x:v>46066</x:v>
      </x:c>
      <x:c r="B88" s="63" t="str">
        <x:v>Février</x:v>
      </x:c>
      <x:c r="C88" s="63" t="str">
        <x:v>Crédit Agricole</x:v>
      </x:c>
      <x:c r="D88" s="63" t="str">
        <x:v>Prélèvement</x:v>
      </x:c>
      <x:c r="E88" s="63" t="str">
        <x:v>Free Pro</x:v>
      </x:c>
      <x:c r="F88" s="63" t="str">
        <x:v>Non</x:v>
      </x:c>
      <x:c r="G88" s="63" t="str">
        <x:v>Décaissement externe</x:v>
      </x:c>
      <x:c r="H88" s="63" t="str">
        <x:v>Télécommunications</x:v>
      </x:c>
      <x:c r="I88" s="64" t="n">
        <x:v>0</x:v>
      </x:c>
      <x:c r="J88" s="64" t="n">
        <x:v>83.96</x:v>
      </x:c>
      <x:c r="K88" s="63" t="str">
        <x:v>Relevé Crédit Agricole Février 2026</x:v>
      </x:c>
    </x:row>
    <x:row r="89">
      <x:c r="A89" s="74" t="n">
        <x:v>46069</x:v>
      </x:c>
      <x:c r="B89" s="63" t="str">
        <x:v>Février</x:v>
      </x:c>
      <x:c r="C89" s="63" t="str">
        <x:v>Crédit Agricole</x:v>
      </x:c>
      <x:c r="D89" s="63" t="str">
        <x:v>Prélèvement</x:v>
      </x:c>
      <x:c r="E89" s="63" t="str">
        <x:v>Allianz IARD</x:v>
      </x:c>
      <x:c r="F89" s="63" t="str">
        <x:v>Non</x:v>
      </x:c>
      <x:c r="G89" s="63" t="str">
        <x:v>Décaissement externe</x:v>
      </x:c>
      <x:c r="H89" s="63" t="str">
        <x:v>Assurances</x:v>
      </x:c>
      <x:c r="I89" s="64" t="n">
        <x:v>0</x:v>
      </x:c>
      <x:c r="J89" s="64" t="n">
        <x:v>95.72</x:v>
      </x:c>
      <x:c r="K89" s="63" t="str">
        <x:v>Relevé Crédit Agricole Février 2026</x:v>
      </x:c>
    </x:row>
    <x:row r="90">
      <x:c r="A90" s="74" t="n">
        <x:v>46069</x:v>
      </x:c>
      <x:c r="B90" s="63" t="str">
        <x:v>Février</x:v>
      </x:c>
      <x:c r="C90" s="63" t="str">
        <x:v>Pennylane</x:v>
      </x:c>
      <x:c r="D90" s="63" t="str">
        <x:v>Carte</x:v>
      </x:c>
      <x:c r="E90" s="63" t="str">
        <x:v>WP Umbrella - Gael Mallet **5345</x:v>
      </x:c>
      <x:c r="F90" s="63" t="str">
        <x:v>Non</x:v>
      </x:c>
      <x:c r="G90" s="63" t="str">
        <x:v>Décaissement externe</x:v>
      </x:c>
      <x:c r="H90" s="63" t="str">
        <x:v>Communication, logiciels et abonnements</x:v>
      </x:c>
      <x:c r="I90" s="64" t="n">
        <x:v>0</x:v>
      </x:c>
      <x:c r="J90" s="64" t="n">
        <x:v>7.16</x:v>
      </x:c>
      <x:c r="K90" s="63" t="str">
        <x:v>ReleveCompte_Pennylane__fevrier_2026.pdf</x:v>
      </x:c>
    </x:row>
    <x:row r="91">
      <x:c r="A91" s="74" t="n">
        <x:v>46070</x:v>
      </x:c>
      <x:c r="B91" s="63" t="str">
        <x:v>Février</x:v>
      </x:c>
      <x:c r="C91" s="63" t="str">
        <x:v>Crédit Agricole</x:v>
      </x:c>
      <x:c r="D91" s="63" t="str">
        <x:v>Prélèvement</x:v>
      </x:c>
      <x:c r="E91" s="63" t="str">
        <x:v>URSSAF Centre</x:v>
      </x:c>
      <x:c r="F91" s="63" t="str">
        <x:v>Non</x:v>
      </x:c>
      <x:c r="G91" s="63" t="str">
        <x:v>Décaissement externe</x:v>
      </x:c>
      <x:c r="H91" s="63" t="str">
        <x:v>Cotisations URSSAF</x:v>
      </x:c>
      <x:c r="I91" s="64" t="n">
        <x:v>0</x:v>
      </x:c>
      <x:c r="J91" s="64" t="n">
        <x:v>2332</x:v>
      </x:c>
      <x:c r="K91" s="63" t="str">
        <x:v>Relevé Crédit Agricole Février 2026</x:v>
      </x:c>
    </x:row>
    <x:row r="92">
      <x:c r="A92" s="74" t="n">
        <x:v>46070</x:v>
      </x:c>
      <x:c r="B92" s="63" t="str">
        <x:v>Février</x:v>
      </x:c>
      <x:c r="C92" s="63" t="str">
        <x:v>Pennylane</x:v>
      </x:c>
      <x:c r="D92" s="63" t="str">
        <x:v>Virement</x:v>
      </x:c>
      <x:c r="E92" s="63" t="str">
        <x:v>Notes de frais - Gael MALLET (1)</x:v>
      </x:c>
      <x:c r="F92" s="63" t="str">
        <x:v>Non</x:v>
      </x:c>
      <x:c r="G92" s="63" t="str">
        <x:v>Décaissement externe</x:v>
      </x:c>
      <x:c r="H92" s="63" t="str">
        <x:v>Déplacements, hébergement et notes de frais</x:v>
      </x:c>
      <x:c r="I92" s="64" t="n">
        <x:v>0</x:v>
      </x:c>
      <x:c r="J92" s="64" t="n">
        <x:v>7.39</x:v>
      </x:c>
      <x:c r="K92" s="63" t="str">
        <x:v>ReleveCompte_Pennylane__fevrier_2026.pdf</x:v>
      </x:c>
    </x:row>
    <x:row r="93">
      <x:c r="A93" s="74" t="n">
        <x:v>46070</x:v>
      </x:c>
      <x:c r="B93" s="63" t="str">
        <x:v>Février</x:v>
      </x:c>
      <x:c r="C93" s="63" t="str">
        <x:v>Pennylane</x:v>
      </x:c>
      <x:c r="D93" s="63" t="str">
        <x:v>Carte</x:v>
      </x:c>
      <x:c r="E93" s="63" t="str">
        <x:v>Pennylane - Gael Mallet **5345</x:v>
      </x:c>
      <x:c r="F93" s="63" t="str">
        <x:v>Non</x:v>
      </x:c>
      <x:c r="G93" s="63" t="str">
        <x:v>Décaissement externe</x:v>
      </x:c>
      <x:c r="H93" s="63" t="str">
        <x:v>Communication, logiciels et abonnements</x:v>
      </x:c>
      <x:c r="I93" s="64" t="n">
        <x:v>0</x:v>
      </x:c>
      <x:c r="J93" s="64" t="n">
        <x:v>34.8</x:v>
      </x:c>
      <x:c r="K93" s="63" t="str">
        <x:v>ReleveCompte_Pennylane__fevrier_2026.pdf</x:v>
      </x:c>
    </x:row>
    <x:row r="94">
      <x:c r="A94" s="74" t="n">
        <x:v>46070</x:v>
      </x:c>
      <x:c r="B94" s="63" t="str">
        <x:v>Février</x:v>
      </x:c>
      <x:c r="C94" s="63" t="str">
        <x:v>Pennylane</x:v>
      </x:c>
      <x:c r="D94" s="63" t="str">
        <x:v>Carte</x:v>
      </x:c>
      <x:c r="E94" s="63" t="str">
        <x:v>SNCF - Corentin Paquereau **6814</x:v>
      </x:c>
      <x:c r="F94" s="63" t="str">
        <x:v>Non</x:v>
      </x:c>
      <x:c r="G94" s="63" t="str">
        <x:v>Décaissement externe</x:v>
      </x:c>
      <x:c r="H94" s="63" t="str">
        <x:v>Déplacements, hébergement et notes de frais</x:v>
      </x:c>
      <x:c r="I94" s="64" t="n">
        <x:v>0</x:v>
      </x:c>
      <x:c r="J94" s="64" t="n">
        <x:v>27.4</x:v>
      </x:c>
      <x:c r="K94" s="63" t="str">
        <x:v>ReleveCompte_Pennylane__fevrier_2026.pdf</x:v>
      </x:c>
    </x:row>
    <x:row r="95">
      <x:c r="A95" s="74" t="n">
        <x:v>46071</x:v>
      </x:c>
      <x:c r="B95" s="63" t="str">
        <x:v>Février</x:v>
      </x:c>
      <x:c r="C95" s="63" t="str">
        <x:v>Crédit Agricole</x:v>
      </x:c>
      <x:c r="D95" s="63" t="str">
        <x:v>Virement</x:v>
      </x:c>
      <x:c r="E95" s="63" t="str">
        <x:v>CPAM Tours</x:v>
      </x:c>
      <x:c r="F95" s="63" t="str">
        <x:v>Non</x:v>
      </x:c>
      <x:c r="G95" s="63" t="str">
        <x:v>Encaissement externe</x:v>
      </x:c>
      <x:c r="H95" s="63" t="str">
        <x:v>Remboursements et avoirs</x:v>
      </x:c>
      <x:c r="I95" s="64" t="n">
        <x:v>344.25</x:v>
      </x:c>
      <x:c r="J95" s="64" t="n">
        <x:v>0</x:v>
      </x:c>
      <x:c r="K95" s="63" t="str">
        <x:v>Relevé Crédit Agricole Février 2026</x:v>
      </x:c>
    </x:row>
    <x:row r="96">
      <x:c r="A96" s="74" t="n">
        <x:v>46072</x:v>
      </x:c>
      <x:c r="B96" s="63" t="str">
        <x:v>Février</x:v>
      </x:c>
      <x:c r="C96" s="63" t="str">
        <x:v>Crédit Agricole</x:v>
      </x:c>
      <x:c r="D96" s="63" t="str">
        <x:v>Prélèvement</x:v>
      </x:c>
      <x:c r="E96" s="63" t="str">
        <x:v>Electricité de France</x:v>
      </x:c>
      <x:c r="F96" s="63" t="str">
        <x:v>Non</x:v>
      </x:c>
      <x:c r="G96" s="63" t="str">
        <x:v>Décaissement externe</x:v>
      </x:c>
      <x:c r="H96" s="63" t="str">
        <x:v>Électricité</x:v>
      </x:c>
      <x:c r="I96" s="64" t="n">
        <x:v>0</x:v>
      </x:c>
      <x:c r="J96" s="64" t="n">
        <x:v>157.66</x:v>
      </x:c>
      <x:c r="K96" s="63" t="str">
        <x:v>Relevé Crédit Agricole Février 2026</x:v>
      </x:c>
    </x:row>
    <x:row r="97">
      <x:c r="A97" s="74" t="n">
        <x:v>46073</x:v>
      </x:c>
      <x:c r="B97" s="63" t="str">
        <x:v>Février</x:v>
      </x:c>
      <x:c r="C97" s="63" t="str">
        <x:v>Crédit Agricole</x:v>
      </x:c>
      <x:c r="D97" s="63" t="str">
        <x:v>Prélèvement</x:v>
      </x:c>
      <x:c r="E97" s="63" t="str">
        <x:v>AXA France IARD SA</x:v>
      </x:c>
      <x:c r="F97" s="63" t="str">
        <x:v>Non</x:v>
      </x:c>
      <x:c r="G97" s="63" t="str">
        <x:v>Décaissement externe</x:v>
      </x:c>
      <x:c r="H97" s="63" t="str">
        <x:v>Assurances</x:v>
      </x:c>
      <x:c r="I97" s="64" t="n">
        <x:v>0</x:v>
      </x:c>
      <x:c r="J97" s="64" t="n">
        <x:v>192.75</x:v>
      </x:c>
      <x:c r="K97" s="63" t="str">
        <x:v>Relevé Crédit Agricole Février 2026</x:v>
      </x:c>
    </x:row>
    <x:row r="98">
      <x:c r="A98" s="74" t="n">
        <x:v>46074</x:v>
      </x:c>
      <x:c r="B98" s="63" t="str">
        <x:v>Février</x:v>
      </x:c>
      <x:c r="C98" s="63" t="str">
        <x:v>Pennylane</x:v>
      </x:c>
      <x:c r="D98" s="63" t="str">
        <x:v>Carte</x:v>
      </x:c>
      <x:c r="E98" s="63" t="str">
        <x:v>Notion - Gael Mallet **5345</x:v>
      </x:c>
      <x:c r="F98" s="63" t="str">
        <x:v>Non</x:v>
      </x:c>
      <x:c r="G98" s="63" t="str">
        <x:v>Décaissement externe</x:v>
      </x:c>
      <x:c r="H98" s="63" t="str">
        <x:v>Communication, logiciels et abonnements</x:v>
      </x:c>
      <x:c r="I98" s="64" t="n">
        <x:v>0</x:v>
      </x:c>
      <x:c r="J98" s="64" t="n">
        <x:v>34.5</x:v>
      </x:c>
      <x:c r="K98" s="63" t="str">
        <x:v>ReleveCompte_Pennylane__fevrier_2026.pdf</x:v>
      </x:c>
    </x:row>
    <x:row r="99">
      <x:c r="A99" s="74" t="n">
        <x:v>46076</x:v>
      </x:c>
      <x:c r="B99" s="63" t="str">
        <x:v>Février</x:v>
      </x:c>
      <x:c r="C99" s="63" t="str">
        <x:v>Crédit Agricole</x:v>
      </x:c>
      <x:c r="D99" s="63" t="str">
        <x:v>Avoir carte</x:v>
      </x:c>
      <x:c r="E99" s="63" t="str">
        <x:v>Amazon Business</x:v>
      </x:c>
      <x:c r="F99" s="63" t="str">
        <x:v>Non</x:v>
      </x:c>
      <x:c r="G99" s="63" t="str">
        <x:v>Encaissement externe</x:v>
      </x:c>
      <x:c r="H99" s="63" t="str">
        <x:v>Remboursements et avoirs</x:v>
      </x:c>
      <x:c r="I99" s="64" t="n">
        <x:v>18.99</x:v>
      </x:c>
      <x:c r="J99" s="64" t="n">
        <x:v>0</x:v>
      </x:c>
      <x:c r="K99" s="63" t="str">
        <x:v>Relevé Crédit Agricole Février 2026</x:v>
      </x:c>
    </x:row>
    <x:row r="100">
      <x:c r="A100" s="74" t="n">
        <x:v>46076</x:v>
      </x:c>
      <x:c r="B100" s="63" t="str">
        <x:v>Février</x:v>
      </x:c>
      <x:c r="C100" s="63" t="str">
        <x:v>Pennylane</x:v>
      </x:c>
      <x:c r="D100" s="63" t="str">
        <x:v>Virement</x:v>
      </x:c>
      <x:c r="E100" s="63" t="str">
        <x:v>FA0852 SARL LIOTTA TIERSLIEU DU SUD TOURAINE</x:v>
      </x:c>
      <x:c r="F100" s="63" t="str">
        <x:v>Non</x:v>
      </x:c>
      <x:c r="G100" s="63" t="str">
        <x:v>Décaissement externe</x:v>
      </x:c>
      <x:c r="H100" s="63" t="str">
        <x:v>Autres prestataires et dépenses d'actions</x:v>
      </x:c>
      <x:c r="I100" s="64" t="n">
        <x:v>0</x:v>
      </x:c>
      <x:c r="J100" s="64" t="n">
        <x:v>2000</x:v>
      </x:c>
      <x:c r="K100" s="63" t="str">
        <x:v>ReleveCompte_Pennylane__fevrier_2026.pdf</x:v>
      </x:c>
    </x:row>
    <x:row r="101">
      <x:c r="A101" s="74" t="n">
        <x:v>46076</x:v>
      </x:c>
      <x:c r="B101" s="63" t="str">
        <x:v>Février</x:v>
      </x:c>
      <x:c r="C101" s="63" t="str">
        <x:v>Pennylane</x:v>
      </x:c>
      <x:c r="D101" s="63" t="str">
        <x:v>Virement</x:v>
      </x:c>
      <x:c r="E101" s="63" t="str">
        <x:v>Notes de frais - Céline Dagorn (1)</x:v>
      </x:c>
      <x:c r="F101" s="63" t="str">
        <x:v>Non</x:v>
      </x:c>
      <x:c r="G101" s="63" t="str">
        <x:v>Décaissement externe</x:v>
      </x:c>
      <x:c r="H101" s="63" t="str">
        <x:v>Déplacements, hébergement et notes de frais</x:v>
      </x:c>
      <x:c r="I101" s="64" t="n">
        <x:v>0</x:v>
      </x:c>
      <x:c r="J101" s="64" t="n">
        <x:v>4.45</x:v>
      </x:c>
      <x:c r="K101" s="63" t="str">
        <x:v>ReleveCompte_Pennylane__fevrier_2026.pdf</x:v>
      </x:c>
    </x:row>
    <x:row r="102">
      <x:c r="A102" s="74" t="n">
        <x:v>46077</x:v>
      </x:c>
      <x:c r="B102" s="63" t="str">
        <x:v>Février</x:v>
      </x:c>
      <x:c r="C102" s="63" t="str">
        <x:v>Crédit Agricole</x:v>
      </x:c>
      <x:c r="D102" s="63" t="str">
        <x:v>Prélèvement</x:v>
      </x:c>
      <x:c r="E102" s="63" t="str">
        <x:v>DGFIP PAS</x:v>
      </x:c>
      <x:c r="F102" s="63" t="str">
        <x:v>Non</x:v>
      </x:c>
      <x:c r="G102" s="63" t="str">
        <x:v>Décaissement externe</x:v>
      </x:c>
      <x:c r="H102" s="63" t="str">
        <x:v>Prélèvement à la source / impôts</x:v>
      </x:c>
      <x:c r="I102" s="64" t="n">
        <x:v>0</x:v>
      </x:c>
      <x:c r="J102" s="64" t="n">
        <x:v>6</x:v>
      </x:c>
      <x:c r="K102" s="63" t="str">
        <x:v>Relevé Crédit Agricole Février 2026</x:v>
      </x:c>
    </x:row>
    <x:row r="103">
      <x:c r="A103" s="74" t="n">
        <x:v>46078</x:v>
      </x:c>
      <x:c r="B103" s="63" t="str">
        <x:v>Février</x:v>
      </x:c>
      <x:c r="C103" s="63" t="str">
        <x:v>Crédit Agricole</x:v>
      </x:c>
      <x:c r="D103" s="63" t="str">
        <x:v>Prélèvement</x:v>
      </x:c>
      <x:c r="E103" s="63" t="str">
        <x:v>AG2R Reunica</x:v>
      </x:c>
      <x:c r="F103" s="63" t="str">
        <x:v>Non</x:v>
      </x:c>
      <x:c r="G103" s="63" t="str">
        <x:v>Décaissement externe</x:v>
      </x:c>
      <x:c r="H103" s="63" t="str">
        <x:v>Retraite et prévoyance</x:v>
      </x:c>
      <x:c r="I103" s="64" t="n">
        <x:v>0</x:v>
      </x:c>
      <x:c r="J103" s="64" t="n">
        <x:v>470.23</x:v>
      </x:c>
      <x:c r="K103" s="63" t="str">
        <x:v>Relevé Crédit Agricole Février 2026</x:v>
      </x:c>
    </x:row>
    <x:row r="104">
      <x:c r="A104" s="74" t="n">
        <x:v>46078</x:v>
      </x:c>
      <x:c r="B104" s="63" t="str">
        <x:v>Février</x:v>
      </x:c>
      <x:c r="C104" s="63" t="str">
        <x:v>Pennylane</x:v>
      </x:c>
      <x:c r="D104" s="63" t="str">
        <x:v>Virement</x:v>
      </x:c>
      <x:c r="E104" s="63" t="str">
        <x:v>176033713201728 CLEMENT MICKAEL TIERSLIEU DU SUD TOURAINE</x:v>
      </x:c>
      <x:c r="F104" s="63" t="str">
        <x:v>Non</x:v>
      </x:c>
      <x:c r="G104" s="63" t="str">
        <x:v>Décaissement externe</x:v>
      </x:c>
      <x:c r="H104" s="63" t="str">
        <x:v>Salaires nets</x:v>
      </x:c>
      <x:c r="I104" s="64" t="n">
        <x:v>0</x:v>
      </x:c>
      <x:c r="J104" s="64" t="n">
        <x:v>859.26</x:v>
      </x:c>
      <x:c r="K104" s="63" t="str">
        <x:v>ReleveCompte_Pennylane__fevrier_2026.pdf</x:v>
      </x:c>
    </x:row>
    <x:row r="105">
      <x:c r="A105" s="74" t="n">
        <x:v>46078</x:v>
      </x:c>
      <x:c r="B105" s="63" t="str">
        <x:v>Février</x:v>
      </x:c>
      <x:c r="C105" s="63" t="str">
        <x:v>Pennylane</x:v>
      </x:c>
      <x:c r="D105" s="63" t="str">
        <x:v>Virement</x:v>
      </x:c>
      <x:c r="E105" s="63" t="str">
        <x:v>176033713201728 CLEMENT MICKAEL TIERSLIEU DU SUD TOURAINE</x:v>
      </x:c>
      <x:c r="F105" s="63" t="str">
        <x:v>Non</x:v>
      </x:c>
      <x:c r="G105" s="63" t="str">
        <x:v>Décaissement externe</x:v>
      </x:c>
      <x:c r="H105" s="63" t="str">
        <x:v>Salaires nets</x:v>
      </x:c>
      <x:c r="I105" s="64" t="n">
        <x:v>0</x:v>
      </x:c>
      <x:c r="J105" s="64" t="n">
        <x:v>906.86</x:v>
      </x:c>
      <x:c r="K105" s="63" t="str">
        <x:v>ReleveCompte_Pennylane__fevrier_2026.pdf</x:v>
      </x:c>
    </x:row>
    <x:row r="106">
      <x:c r="A106" s="74" t="n">
        <x:v>46079</x:v>
      </x:c>
      <x:c r="B106" s="63" t="str">
        <x:v>Février</x:v>
      </x:c>
      <x:c r="C106" s="63" t="str">
        <x:v>Crédit Agricole</x:v>
      </x:c>
      <x:c r="D106" s="63" t="str">
        <x:v>Prélèvement</x:v>
      </x:c>
      <x:c r="E106" s="63" t="str">
        <x:v>Harmonie Mutuelle</x:v>
      </x:c>
      <x:c r="F106" s="63" t="str">
        <x:v>Non</x:v>
      </x:c>
      <x:c r="G106" s="63" t="str">
        <x:v>Décaissement externe</x:v>
      </x:c>
      <x:c r="H106" s="63" t="str">
        <x:v>Mutuelle santé</x:v>
      </x:c>
      <x:c r="I106" s="64" t="n">
        <x:v>0</x:v>
      </x:c>
      <x:c r="J106" s="64" t="n">
        <x:v>676.95</x:v>
      </x:c>
      <x:c r="K106" s="63" t="str">
        <x:v>Relevé Crédit Agricole Février 2026</x:v>
      </x:c>
    </x:row>
    <x:row r="107">
      <x:c r="A107" s="74" t="n">
        <x:v>46079</x:v>
      </x:c>
      <x:c r="B107" s="63" t="str">
        <x:v>Février</x:v>
      </x:c>
      <x:c r="C107" s="63" t="str">
        <x:v>Pennylane</x:v>
      </x:c>
      <x:c r="D107" s="63" t="str">
        <x:v>Virement</x:v>
      </x:c>
      <x:c r="E107" s="63" t="str">
        <x:v>Notes de frais - Corentin Paquereau (1)</x:v>
      </x:c>
      <x:c r="F107" s="63" t="str">
        <x:v>Non</x:v>
      </x:c>
      <x:c r="G107" s="63" t="str">
        <x:v>Décaissement externe</x:v>
      </x:c>
      <x:c r="H107" s="63" t="str">
        <x:v>Déplacements, hébergement et notes de frais</x:v>
      </x:c>
      <x:c r="I107" s="64" t="n">
        <x:v>0</x:v>
      </x:c>
      <x:c r="J107" s="64" t="n">
        <x:v>22.42</x:v>
      </x:c>
      <x:c r="K107" s="63" t="str">
        <x:v>ReleveCompte_Pennylane__fevrier_2026.pdf</x:v>
      </x:c>
    </x:row>
    <x:row r="108">
      <x:c r="A108" s="74" t="n">
        <x:v>46080</x:v>
      </x:c>
      <x:c r="B108" s="63" t="str">
        <x:v>Février</x:v>
      </x:c>
      <x:c r="C108" s="63" t="str">
        <x:v>Crédit Agricole</x:v>
      </x:c>
      <x:c r="D108" s="63" t="str">
        <x:v>Virement interne</x:v>
      </x:c>
      <x:c r="E108" s="63" t="str">
        <x:v>Vir Inst vers Pennylane Tiers-li</x:v>
      </x:c>
      <x:c r="F108" s="63" t="str">
        <x:v>Oui</x:v>
      </x:c>
      <x:c r="G108" s="63" t="str">
        <x:v>Virement interne neutralisé</x:v>
      </x:c>
      <x:c r="H108" s="63" t="str">
        <x:v>Virements internes</x:v>
      </x:c>
      <x:c r="I108" s="64" t="n">
        <x:v>0</x:v>
      </x:c>
      <x:c r="J108" s="64" t="n">
        <x:v>9000</x:v>
      </x:c>
      <x:c r="K108" s="63" t="str">
        <x:v>Relevé Crédit Agricole Février 2026</x:v>
      </x:c>
    </x:row>
    <x:row r="109">
      <x:c r="A109" s="74" t="n">
        <x:v>46080</x:v>
      </x:c>
      <x:c r="B109" s="63" t="str">
        <x:v>Février</x:v>
      </x:c>
      <x:c r="C109" s="63" t="str">
        <x:v>Pennylane</x:v>
      </x:c>
      <x:c r="D109" s="63" t="str">
        <x:v>Virement</x:v>
      </x:c>
      <x:c r="E109" s="63" t="str">
        <x:v>Facture mars - salaires fevrier 26</x:v>
      </x:c>
      <x:c r="F109" s="63" t="str">
        <x:v>Oui</x:v>
      </x:c>
      <x:c r="G109" s="63" t="str">
        <x:v>Virement interne neutralisé</x:v>
      </x:c>
      <x:c r="H109" s="63" t="str">
        <x:v>Virements internes</x:v>
      </x:c>
      <x:c r="I109" s="64" t="n">
        <x:v>9000</x:v>
      </x:c>
      <x:c r="J109" s="64" t="n">
        <x:v>0</x:v>
      </x:c>
      <x:c r="K109" s="63" t="str">
        <x:v>ReleveCompte_Pennylane__fevrier_2026.pdf</x:v>
      </x:c>
    </x:row>
    <x:row r="110">
      <x:c r="A110" s="74" t="n">
        <x:v>46080</x:v>
      </x:c>
      <x:c r="B110" s="63" t="str">
        <x:v>Février</x:v>
      </x:c>
      <x:c r="C110" s="63" t="str">
        <x:v>Pennylane</x:v>
      </x:c>
      <x:c r="D110" s="63" t="str">
        <x:v>Carte</x:v>
      </x:c>
      <x:c r="E110" s="63" t="str">
        <x:v>HelloAsso - Celine Dagorn **5941</x:v>
      </x:c>
      <x:c r="F110" s="63" t="str">
        <x:v>Non</x:v>
      </x:c>
      <x:c r="G110" s="63" t="str">
        <x:v>Décaissement externe</x:v>
      </x:c>
      <x:c r="H110" s="63" t="str">
        <x:v>Communication, logiciels et abonnements</x:v>
      </x:c>
      <x:c r="I110" s="64" t="n">
        <x:v>0</x:v>
      </x:c>
      <x:c r="J110" s="64" t="n">
        <x:v>56.5</x:v>
      </x:c>
      <x:c r="K110" s="63" t="str">
        <x:v>ReleveCompte_Pennylane__fevrier_2026.pdf</x:v>
      </x:c>
    </x:row>
    <x:row r="111">
      <x:c r="A111" s="74" t="n">
        <x:v>46080</x:v>
      </x:c>
      <x:c r="B111" s="63" t="str">
        <x:v>Février</x:v>
      </x:c>
      <x:c r="C111" s="63" t="str">
        <x:v>Pennylane</x:v>
      </x:c>
      <x:c r="D111" s="63" t="str">
        <x:v>Virement</x:v>
      </x:c>
      <x:c r="E111" s="63" t="str">
        <x:v>Notes de frais - Corentin Paquereau (1)</x:v>
      </x:c>
      <x:c r="F111" s="63" t="str">
        <x:v>Non</x:v>
      </x:c>
      <x:c r="G111" s="63" t="str">
        <x:v>Décaissement externe</x:v>
      </x:c>
      <x:c r="H111" s="63" t="str">
        <x:v>Déplacements, hébergement et notes de frais</x:v>
      </x:c>
      <x:c r="I111" s="64" t="n">
        <x:v>0</x:v>
      </x:c>
      <x:c r="J111" s="64" t="n">
        <x:v>13.94</x:v>
      </x:c>
      <x:c r="K111" s="63" t="str">
        <x:v>ReleveCompte_Pennylane__fevrier_2026.pdf</x:v>
      </x:c>
    </x:row>
    <x:row r="112">
      <x:c r="A112" s="74" t="n">
        <x:v>46082</x:v>
      </x:c>
      <x:c r="B112" s="63" t="str">
        <x:v>Mars</x:v>
      </x:c>
      <x:c r="C112" s="63" t="str">
        <x:v>Pennylane</x:v>
      </x:c>
      <x:c r="D112" s="63" t="str">
        <x:v>Carte</x:v>
      </x:c>
      <x:c r="E112" s="63" t="str">
        <x:v>Pennylane - Gael Mallet **5345</x:v>
      </x:c>
      <x:c r="F112" s="63" t="str">
        <x:v>Non</x:v>
      </x:c>
      <x:c r="G112" s="63" t="str">
        <x:v>Décaissement externe</x:v>
      </x:c>
      <x:c r="H112" s="63" t="str">
        <x:v>Communication, logiciels et abonnements</x:v>
      </x:c>
      <x:c r="I112" s="64" t="n">
        <x:v>0</x:v>
      </x:c>
      <x:c r="J112" s="64" t="n">
        <x:v>94.8</x:v>
      </x:c>
      <x:c r="K112" s="63" t="str">
        <x:v>ReleveCompte_Pennylane__mars_2026.pdf</x:v>
      </x:c>
    </x:row>
    <x:row r="113">
      <x:c r="A113" s="74" t="n">
        <x:v>46083</x:v>
      </x:c>
      <x:c r="B113" s="63" t="str">
        <x:v>Mars</x:v>
      </x:c>
      <x:c r="C113" s="63" t="str">
        <x:v>Pennylane</x:v>
      </x:c>
      <x:c r="D113" s="63" t="str">
        <x:v>Virement</x:v>
      </x:c>
      <x:c r="E113" s="63" t="str">
        <x:v>100078509228359 PAQUEREAU Corentin TIERSLIEU DU SUD TOURAINE</x:v>
      </x:c>
      <x:c r="F113" s="63" t="str">
        <x:v>Non</x:v>
      </x:c>
      <x:c r="G113" s="63" t="str">
        <x:v>Décaissement externe</x:v>
      </x:c>
      <x:c r="H113" s="63" t="str">
        <x:v>Salaires nets</x:v>
      </x:c>
      <x:c r="I113" s="64" t="n">
        <x:v>0</x:v>
      </x:c>
      <x:c r="J113" s="64" t="n">
        <x:v>1814.68</x:v>
      </x:c>
      <x:c r="K113" s="63" t="str">
        <x:v>ReleveCompte_Pennylane__mars_2026.pdf</x:v>
      </x:c>
    </x:row>
    <x:row r="114">
      <x:c r="A114" s="74" t="n">
        <x:v>46083</x:v>
      </x:c>
      <x:c r="B114" s="63" t="str">
        <x:v>Mars</x:v>
      </x:c>
      <x:c r="C114" s="63" t="str">
        <x:v>Pennylane</x:v>
      </x:c>
      <x:c r="D114" s="63" t="str">
        <x:v>Virement</x:v>
      </x:c>
      <x:c r="E114" s="63" t="str">
        <x:v>279053726113150 DAGORN CELINE TIERSLIEU DU SUD TOURAINE</x:v>
      </x:c>
      <x:c r="F114" s="63" t="str">
        <x:v>Non</x:v>
      </x:c>
      <x:c r="G114" s="63" t="str">
        <x:v>Décaissement externe</x:v>
      </x:c>
      <x:c r="H114" s="63" t="str">
        <x:v>Salaires nets</x:v>
      </x:c>
      <x:c r="I114" s="64" t="n">
        <x:v>0</x:v>
      </x:c>
      <x:c r="J114" s="64" t="n">
        <x:v>608.62</x:v>
      </x:c>
      <x:c r="K114" s="63" t="str">
        <x:v>ReleveCompte_Pennylane__mars_2026.pdf</x:v>
      </x:c>
    </x:row>
    <x:row r="115">
      <x:c r="A115" s="74" t="n">
        <x:v>46083</x:v>
      </x:c>
      <x:c r="B115" s="63" t="str">
        <x:v>Mars</x:v>
      </x:c>
      <x:c r="C115" s="63" t="str">
        <x:v>Pennylane</x:v>
      </x:c>
      <x:c r="D115" s="63" t="str">
        <x:v>Virement</x:v>
      </x:c>
      <x:c r="E115" s="63" t="str">
        <x:v>293057521443130 VANLAER CLEMENTINE TIERSLIEU DU SUD TOURAINE</x:v>
      </x:c>
      <x:c r="F115" s="63" t="str">
        <x:v>Non</x:v>
      </x:c>
      <x:c r="G115" s="63" t="str">
        <x:v>Décaissement externe</x:v>
      </x:c>
      <x:c r="H115" s="63" t="str">
        <x:v>Salaires nets</x:v>
      </x:c>
      <x:c r="I115" s="64" t="n">
        <x:v>0</x:v>
      </x:c>
      <x:c r="J115" s="64" t="n">
        <x:v>1733.14</x:v>
      </x:c>
      <x:c r="K115" s="63" t="str">
        <x:v>ReleveCompte_Pennylane__mars_2026.pdf</x:v>
      </x:c>
    </x:row>
    <x:row r="116">
      <x:c r="A116" s="74" t="n">
        <x:v>46085</x:v>
      </x:c>
      <x:c r="B116" s="63" t="str">
        <x:v>Mars</x:v>
      </x:c>
      <x:c r="C116" s="63" t="str">
        <x:v>Crédit Agricole</x:v>
      </x:c>
      <x:c r="D116" s="63" t="str">
        <x:v>Virement</x:v>
      </x:c>
      <x:c r="E116" s="63" t="str">
        <x:v>CPAM Tours</x:v>
      </x:c>
      <x:c r="F116" s="63" t="str">
        <x:v>Non</x:v>
      </x:c>
      <x:c r="G116" s="63" t="str">
        <x:v>Encaissement externe</x:v>
      </x:c>
      <x:c r="H116" s="63" t="str">
        <x:v>Remboursements et avoirs</x:v>
      </x:c>
      <x:c r="I116" s="64" t="n">
        <x:v>963.9</x:v>
      </x:c>
      <x:c r="J116" s="64" t="n">
        <x:v>0</x:v>
      </x:c>
      <x:c r="K116" s="63" t="str">
        <x:v>Relevé Crédit Agricole Mars 2026</x:v>
      </x:c>
    </x:row>
    <x:row r="117">
      <x:c r="A117" s="74" t="n">
        <x:v>46086</x:v>
      </x:c>
      <x:c r="B117" s="63" t="str">
        <x:v>Mars</x:v>
      </x:c>
      <x:c r="C117" s="63" t="str">
        <x:v>Crédit Agricole</x:v>
      </x:c>
      <x:c r="D117" s="63" t="str">
        <x:v>Prélèvement</x:v>
      </x:c>
      <x:c r="E117" s="63" t="str">
        <x:v>AXA France IARD SA</x:v>
      </x:c>
      <x:c r="F117" s="63" t="str">
        <x:v>Non</x:v>
      </x:c>
      <x:c r="G117" s="63" t="str">
        <x:v>Décaissement externe</x:v>
      </x:c>
      <x:c r="H117" s="63" t="str">
        <x:v>Assurances</x:v>
      </x:c>
      <x:c r="I117" s="64" t="n">
        <x:v>0</x:v>
      </x:c>
      <x:c r="J117" s="64" t="n">
        <x:v>192.75</x:v>
      </x:c>
      <x:c r="K117" s="63" t="str">
        <x:v>Relevé Crédit Agricole Mars 2026</x:v>
      </x:c>
    </x:row>
    <x:row r="118">
      <x:c r="A118" s="74" t="n">
        <x:v>46086</x:v>
      </x:c>
      <x:c r="B118" s="63" t="str">
        <x:v>Mars</x:v>
      </x:c>
      <x:c r="C118" s="63" t="str">
        <x:v>Pennylane</x:v>
      </x:c>
      <x:c r="D118" s="63" t="str">
        <x:v>Virement</x:v>
      </x:c>
      <x:c r="E118" s="63" t="str">
        <x:v>F202603501 O3 EXPERTISE COMPTABLE TIERSLIEU DU SUD TOURAINE</x:v>
      </x:c>
      <x:c r="F118" s="63" t="str">
        <x:v>Non</x:v>
      </x:c>
      <x:c r="G118" s="63" t="str">
        <x:v>Décaissement externe</x:v>
      </x:c>
      <x:c r="H118" s="63" t="str">
        <x:v>Expertise comptable</x:v>
      </x:c>
      <x:c r="I118" s="64" t="n">
        <x:v>0</x:v>
      </x:c>
      <x:c r="J118" s="64" t="n">
        <x:v>399.15</x:v>
      </x:c>
      <x:c r="K118" s="63" t="str">
        <x:v>ReleveCompte_Pennylane__mars_2026.pdf</x:v>
      </x:c>
    </x:row>
    <x:row r="119">
      <x:c r="A119" s="74" t="n">
        <x:v>46086</x:v>
      </x:c>
      <x:c r="B119" s="63" t="str">
        <x:v>Mars</x:v>
      </x:c>
      <x:c r="C119" s="63" t="str">
        <x:v>Pennylane</x:v>
      </x:c>
      <x:c r="D119" s="63" t="str">
        <x:v>Virement</x:v>
      </x:c>
      <x:c r="E119" s="63" t="str">
        <x:v>FA2500546 DUTHOO SOC INFOR G G TIERSLIEU DU SUD TOURAINE</x:v>
      </x:c>
      <x:c r="F119" s="63" t="str">
        <x:v>Non</x:v>
      </x:c>
      <x:c r="G119" s="63" t="str">
        <x:v>Décaissement externe</x:v>
      </x:c>
      <x:c r="H119" s="63" t="str">
        <x:v>Prestations informatiques / Duthoo</x:v>
      </x:c>
      <x:c r="I119" s="64" t="n">
        <x:v>0</x:v>
      </x:c>
      <x:c r="J119" s="64" t="n">
        <x:v>1800</x:v>
      </x:c>
      <x:c r="K119" s="63" t="str">
        <x:v>ReleveCompte_Pennylane__mars_2026.pdf</x:v>
      </x:c>
    </x:row>
    <x:row r="120">
      <x:c r="A120" s="74" t="n">
        <x:v>46087</x:v>
      </x:c>
      <x:c r="B120" s="63" t="str">
        <x:v>Mars</x:v>
      </x:c>
      <x:c r="C120" s="63" t="str">
        <x:v>Pennylane</x:v>
      </x:c>
      <x:c r="D120" s="63" t="str">
        <x:v>Carte</x:v>
      </x:c>
      <x:c r="E120" s="63" t="str">
        <x:v>La Nouvelle République - Gael Mallet **5345</x:v>
      </x:c>
      <x:c r="F120" s="63" t="str">
        <x:v>Non</x:v>
      </x:c>
      <x:c r="G120" s="63" t="str">
        <x:v>Décaissement externe</x:v>
      </x:c>
      <x:c r="H120" s="63" t="str">
        <x:v>Communication, logiciels et abonnements</x:v>
      </x:c>
      <x:c r="I120" s="64" t="n">
        <x:v>0</x:v>
      </x:c>
      <x:c r="J120" s="64" t="n">
        <x:v>14.9</x:v>
      </x:c>
      <x:c r="K120" s="63" t="str">
        <x:v>ReleveCompte_Pennylane__mars_2026.pdf</x:v>
      </x:c>
    </x:row>
    <x:row r="121">
      <x:c r="A121" s="74" t="n">
        <x:v>46087</x:v>
      </x:c>
      <x:c r="B121" s="63" t="str">
        <x:v>Mars</x:v>
      </x:c>
      <x:c r="C121" s="63" t="str">
        <x:v>Pennylane</x:v>
      </x:c>
      <x:c r="D121" s="63" t="str">
        <x:v>Carte</x:v>
      </x:c>
      <x:c r="E121" s="63" t="str">
        <x:v>SAS FOURTI - Corentin Paquereau **6814</x:v>
      </x:c>
      <x:c r="F121" s="63" t="str">
        <x:v>Non</x:v>
      </x:c>
      <x:c r="G121" s="63" t="str">
        <x:v>Décaissement externe</x:v>
      </x:c>
      <x:c r="H121" s="63" t="str">
        <x:v>Achats, fournitures, restauration et événementiel</x:v>
      </x:c>
      <x:c r="I121" s="64" t="n">
        <x:v>0</x:v>
      </x:c>
      <x:c r="J121" s="64" t="n">
        <x:v>4</x:v>
      </x:c>
      <x:c r="K121" s="63" t="str">
        <x:v>ReleveCompte_Pennylane__mars_2026.pdf</x:v>
      </x:c>
    </x:row>
    <x:row r="122">
      <x:c r="A122" s="74" t="n">
        <x:v>46088</x:v>
      </x:c>
      <x:c r="B122" s="63" t="str">
        <x:v>Mars</x:v>
      </x:c>
      <x:c r="C122" s="63" t="str">
        <x:v>Pennylane</x:v>
      </x:c>
      <x:c r="D122" s="63" t="str">
        <x:v>Carte</x:v>
      </x:c>
      <x:c r="E122" s="63" t="str">
        <x:v>LA RENAISSANCE LOCH - Corentin Paquereau **6814</x:v>
      </x:c>
      <x:c r="F122" s="63" t="str">
        <x:v>Non</x:v>
      </x:c>
      <x:c r="G122" s="63" t="str">
        <x:v>Décaissement externe</x:v>
      </x:c>
      <x:c r="H122" s="63" t="str">
        <x:v>Achats, fournitures, restauration et événementiel</x:v>
      </x:c>
      <x:c r="I122" s="64" t="n">
        <x:v>0</x:v>
      </x:c>
      <x:c r="J122" s="64" t="n">
        <x:v>30</x:v>
      </x:c>
      <x:c r="K122" s="63" t="str">
        <x:v>ReleveCompte_Pennylane__mars_2026.pdf</x:v>
      </x:c>
    </x:row>
    <x:row r="123">
      <x:c r="A123" s="74" t="n">
        <x:v>46088</x:v>
      </x:c>
      <x:c r="B123" s="63" t="str">
        <x:v>Mars</x:v>
      </x:c>
      <x:c r="C123" s="63" t="str">
        <x:v>Pennylane</x:v>
      </x:c>
      <x:c r="D123" s="63" t="str">
        <x:v>Carte</x:v>
      </x:c>
      <x:c r="E123" s="63" t="str">
        <x:v>LA RENAISSANCE LOCH - Corentin Paquereau **6814</x:v>
      </x:c>
      <x:c r="F123" s="63" t="str">
        <x:v>Non</x:v>
      </x:c>
      <x:c r="G123" s="63" t="str">
        <x:v>Décaissement externe</x:v>
      </x:c>
      <x:c r="H123" s="63" t="str">
        <x:v>Achats, fournitures, restauration et événementiel</x:v>
      </x:c>
      <x:c r="I123" s="64" t="n">
        <x:v>0</x:v>
      </x:c>
      <x:c r="J123" s="64" t="n">
        <x:v>21.1</x:v>
      </x:c>
      <x:c r="K123" s="63" t="str">
        <x:v>ReleveCompte_Pennylane__mars_2026.pdf</x:v>
      </x:c>
    </x:row>
    <x:row r="124">
      <x:c r="A124" s="74" t="n">
        <x:v>46091</x:v>
      </x:c>
      <x:c r="B124" s="63" t="str">
        <x:v>Mars</x:v>
      </x:c>
      <x:c r="C124" s="63" t="str">
        <x:v>Pennylane</x:v>
      </x:c>
      <x:c r="D124" s="63" t="str">
        <x:v>Virement</x:v>
      </x:c>
      <x:c r="E124" s="63" t="str">
        <x:v>MR DOUET MICKAEL -M BOUCETTA FETHIL-SOFYNET -- FAC 2026-4001</x:v>
      </x:c>
      <x:c r="F124" s="63" t="str">
        <x:v>Non</x:v>
      </x:c>
      <x:c r="G124" s="63" t="str">
        <x:v>Décaissement externe</x:v>
      </x:c>
      <x:c r="H124" s="63" t="str">
        <x:v>Autres prestataires et dépenses d'actions</x:v>
      </x:c>
      <x:c r="I124" s="64" t="n">
        <x:v>0</x:v>
      </x:c>
      <x:c r="J124" s="64" t="n">
        <x:v>263.7</x:v>
      </x:c>
      <x:c r="K124" s="63" t="str">
        <x:v>ReleveCompte_Pennylane__mars_2026.pdf</x:v>
      </x:c>
    </x:row>
    <x:row r="125">
      <x:c r="A125" s="74" t="n">
        <x:v>46091</x:v>
      </x:c>
      <x:c r="B125" s="63" t="str">
        <x:v>Mars</x:v>
      </x:c>
      <x:c r="C125" s="63" t="str">
        <x:v>Pennylane</x:v>
      </x:c>
      <x:c r="D125" s="63" t="str">
        <x:v>Virement</x:v>
      </x:c>
      <x:c r="E125" s="63" t="str">
        <x:v>Notes de frais - Corentin Paquereau (1)</x:v>
      </x:c>
      <x:c r="F125" s="63" t="str">
        <x:v>Non</x:v>
      </x:c>
      <x:c r="G125" s="63" t="str">
        <x:v>Décaissement externe</x:v>
      </x:c>
      <x:c r="H125" s="63" t="str">
        <x:v>Déplacements, hébergement et notes de frais</x:v>
      </x:c>
      <x:c r="I125" s="64" t="n">
        <x:v>0</x:v>
      </x:c>
      <x:c r="J125" s="64" t="n">
        <x:v>27.27</x:v>
      </x:c>
      <x:c r="K125" s="63" t="str">
        <x:v>ReleveCompte_Pennylane__mars_2026.pdf</x:v>
      </x:c>
    </x:row>
    <x:row r="126">
      <x:c r="A126" s="74" t="n">
        <x:v>46091</x:v>
      </x:c>
      <x:c r="B126" s="63" t="str">
        <x:v>Mars</x:v>
      </x:c>
      <x:c r="C126" s="63" t="str">
        <x:v>Pennylane</x:v>
      </x:c>
      <x:c r="D126" s="63" t="str">
        <x:v>Virement</x:v>
      </x:c>
      <x:c r="E126" s="63" t="str">
        <x:v>Notes de frais - Corentin Paquereau (1)</x:v>
      </x:c>
      <x:c r="F126" s="63" t="str">
        <x:v>Non</x:v>
      </x:c>
      <x:c r="G126" s="63" t="str">
        <x:v>Décaissement externe</x:v>
      </x:c>
      <x:c r="H126" s="63" t="str">
        <x:v>Déplacements, hébergement et notes de frais</x:v>
      </x:c>
      <x:c r="I126" s="64" t="n">
        <x:v>0</x:v>
      </x:c>
      <x:c r="J126" s="64" t="n">
        <x:v>39.99</x:v>
      </x:c>
      <x:c r="K126" s="63" t="str">
        <x:v>ReleveCompte_Pennylane__mars_2026.pdf</x:v>
      </x:c>
    </x:row>
    <x:row r="127">
      <x:c r="A127" s="74" t="n">
        <x:v>46092</x:v>
      </x:c>
      <x:c r="B127" s="63" t="str">
        <x:v>Mars</x:v>
      </x:c>
      <x:c r="C127" s="63" t="str">
        <x:v>Pennylane</x:v>
      </x:c>
      <x:c r="D127" s="63" t="str">
        <x:v>Carte</x:v>
      </x:c>
      <x:c r="E127" s="63" t="str">
        <x:v>Crèmerie du Glacier - Corentin Paquereau **6814</x:v>
      </x:c>
      <x:c r="F127" s="63" t="str">
        <x:v>Non</x:v>
      </x:c>
      <x:c r="G127" s="63" t="str">
        <x:v>Décaissement externe</x:v>
      </x:c>
      <x:c r="H127" s="63" t="str">
        <x:v>Achats, fournitures, restauration et événementiel</x:v>
      </x:c>
      <x:c r="I127" s="64" t="n">
        <x:v>0</x:v>
      </x:c>
      <x:c r="J127" s="64" t="n">
        <x:v>12.78</x:v>
      </x:c>
      <x:c r="K127" s="63" t="str">
        <x:v>ReleveCompte_Pennylane__mars_2026.pdf</x:v>
      </x:c>
    </x:row>
    <x:row r="128">
      <x:c r="A128" s="74" t="n">
        <x:v>46092</x:v>
      </x:c>
      <x:c r="B128" s="63" t="str">
        <x:v>Mars</x:v>
      </x:c>
      <x:c r="C128" s="63" t="str">
        <x:v>Pennylane</x:v>
      </x:c>
      <x:c r="D128" s="63" t="str">
        <x:v>Carte</x:v>
      </x:c>
      <x:c r="E128" s="63" t="str">
        <x:v>SAS FOURTI - Corentin Paquereau **6814</x:v>
      </x:c>
      <x:c r="F128" s="63" t="str">
        <x:v>Non</x:v>
      </x:c>
      <x:c r="G128" s="63" t="str">
        <x:v>Décaissement externe</x:v>
      </x:c>
      <x:c r="H128" s="63" t="str">
        <x:v>Achats, fournitures, restauration et événementiel</x:v>
      </x:c>
      <x:c r="I128" s="64" t="n">
        <x:v>0</x:v>
      </x:c>
      <x:c r="J128" s="64" t="n">
        <x:v>2.5</x:v>
      </x:c>
      <x:c r="K128" s="63" t="str">
        <x:v>ReleveCompte_Pennylane__mars_2026.pdf</x:v>
      </x:c>
    </x:row>
    <x:row r="129">
      <x:c r="A129" s="74" t="n">
        <x:v>46094</x:v>
      </x:c>
      <x:c r="B129" s="63" t="str">
        <x:v>Mars</x:v>
      </x:c>
      <x:c r="C129" s="63" t="str">
        <x:v>Crédit Agricole</x:v>
      </x:c>
      <x:c r="D129" s="63" t="str">
        <x:v>Prélèvement</x:v>
      </x:c>
      <x:c r="E129" s="63" t="str">
        <x:v>Free Pro</x:v>
      </x:c>
      <x:c r="F129" s="63" t="str">
        <x:v>Non</x:v>
      </x:c>
      <x:c r="G129" s="63" t="str">
        <x:v>Décaissement externe</x:v>
      </x:c>
      <x:c r="H129" s="63" t="str">
        <x:v>Télécommunications</x:v>
      </x:c>
      <x:c r="I129" s="64" t="n">
        <x:v>0</x:v>
      </x:c>
      <x:c r="J129" s="64" t="n">
        <x:v>83.96</x:v>
      </x:c>
      <x:c r="K129" s="63" t="str">
        <x:v>Relevé Crédit Agricole Mars 2026</x:v>
      </x:c>
    </x:row>
    <x:row r="130">
      <x:c r="A130" s="74" t="n">
        <x:v>46094</x:v>
      </x:c>
      <x:c r="B130" s="63" t="str">
        <x:v>Mars</x:v>
      </x:c>
      <x:c r="C130" s="63" t="str">
        <x:v>Pennylane</x:v>
      </x:c>
      <x:c r="D130" s="63" t="str">
        <x:v>Carte</x:v>
      </x:c>
      <x:c r="E130" s="63" t="str">
        <x:v>ETS CORDIER - Corentin Paquereau **6814</x:v>
      </x:c>
      <x:c r="F130" s="63" t="str">
        <x:v>Non</x:v>
      </x:c>
      <x:c r="G130" s="63" t="str">
        <x:v>Décaissement externe</x:v>
      </x:c>
      <x:c r="H130" s="63" t="str">
        <x:v>Achats, fournitures, restauration et événementiel</x:v>
      </x:c>
      <x:c r="I130" s="64" t="n">
        <x:v>0</x:v>
      </x:c>
      <x:c r="J130" s="64" t="n">
        <x:v>11.75</x:v>
      </x:c>
      <x:c r="K130" s="63" t="str">
        <x:v>ReleveCompte_Pennylane__mars_2026.pdf</x:v>
      </x:c>
    </x:row>
    <x:row r="131">
      <x:c r="A131" s="74" t="n">
        <x:v>46097</x:v>
      </x:c>
      <x:c r="B131" s="63" t="str">
        <x:v>Mars</x:v>
      </x:c>
      <x:c r="C131" s="63" t="str">
        <x:v>Crédit Agricole</x:v>
      </x:c>
      <x:c r="D131" s="63" t="str">
        <x:v>Prélèvement</x:v>
      </x:c>
      <x:c r="E131" s="63" t="str">
        <x:v>Allianz IARD</x:v>
      </x:c>
      <x:c r="F131" s="63" t="str">
        <x:v>Non</x:v>
      </x:c>
      <x:c r="G131" s="63" t="str">
        <x:v>Décaissement externe</x:v>
      </x:c>
      <x:c r="H131" s="63" t="str">
        <x:v>Assurances</x:v>
      </x:c>
      <x:c r="I131" s="64" t="n">
        <x:v>0</x:v>
      </x:c>
      <x:c r="J131" s="64" t="n">
        <x:v>95.72</x:v>
      </x:c>
      <x:c r="K131" s="63" t="str">
        <x:v>Relevé Crédit Agricole Mars 2026</x:v>
      </x:c>
    </x:row>
    <x:row r="132">
      <x:c r="A132" s="74" t="n">
        <x:v>46097</x:v>
      </x:c>
      <x:c r="B132" s="63" t="str">
        <x:v>Mars</x:v>
      </x:c>
      <x:c r="C132" s="63" t="str">
        <x:v>Pennylane</x:v>
      </x:c>
      <x:c r="D132" s="63" t="str">
        <x:v>Carte</x:v>
      </x:c>
      <x:c r="E132" s="63" t="str">
        <x:v>WP Umbrella - Gael Mallet **5345</x:v>
      </x:c>
      <x:c r="F132" s="63" t="str">
        <x:v>Non</x:v>
      </x:c>
      <x:c r="G132" s="63" t="str">
        <x:v>Décaissement externe</x:v>
      </x:c>
      <x:c r="H132" s="63" t="str">
        <x:v>Communication, logiciels et abonnements</x:v>
      </x:c>
      <x:c r="I132" s="64" t="n">
        <x:v>0</x:v>
      </x:c>
      <x:c r="J132" s="64" t="n">
        <x:v>7.16</x:v>
      </x:c>
      <x:c r="K132" s="63" t="str">
        <x:v>ReleveCompte_Pennylane__mars_2026.pdf</x:v>
      </x:c>
    </x:row>
    <x:row r="133">
      <x:c r="A133" s="74" t="n">
        <x:v>46098</x:v>
      </x:c>
      <x:c r="B133" s="63" t="str">
        <x:v>Mars</x:v>
      </x:c>
      <x:c r="C133" s="63" t="str">
        <x:v>Crédit Agricole</x:v>
      </x:c>
      <x:c r="D133" s="63" t="str">
        <x:v>Virement</x:v>
      </x:c>
      <x:c r="E133" s="63" t="str">
        <x:v>Remboursement Harmonie</x:v>
      </x:c>
      <x:c r="F133" s="63" t="str">
        <x:v>Non</x:v>
      </x:c>
      <x:c r="G133" s="63" t="str">
        <x:v>Encaissement externe</x:v>
      </x:c>
      <x:c r="H133" s="63" t="str">
        <x:v>Remboursements et avoirs</x:v>
      </x:c>
      <x:c r="I133" s="64" t="n">
        <x:v>563.56</x:v>
      </x:c>
      <x:c r="J133" s="64" t="n">
        <x:v>0</x:v>
      </x:c>
      <x:c r="K133" s="63" t="str">
        <x:v>Relevé Crédit Agricole Mars 2026</x:v>
      </x:c>
    </x:row>
    <x:row r="134">
      <x:c r="A134" s="74" t="n">
        <x:v>46098</x:v>
      </x:c>
      <x:c r="B134" s="63" t="str">
        <x:v>Mars</x:v>
      </x:c>
      <x:c r="C134" s="63" t="str">
        <x:v>Crédit Agricole</x:v>
      </x:c>
      <x:c r="D134" s="63" t="str">
        <x:v>Prélèvement</x:v>
      </x:c>
      <x:c r="E134" s="63" t="str">
        <x:v>URSSAF Centre</x:v>
      </x:c>
      <x:c r="F134" s="63" t="str">
        <x:v>Non</x:v>
      </x:c>
      <x:c r="G134" s="63" t="str">
        <x:v>Décaissement externe</x:v>
      </x:c>
      <x:c r="H134" s="63" t="str">
        <x:v>Cotisations URSSAF</x:v>
      </x:c>
      <x:c r="I134" s="64" t="n">
        <x:v>0</x:v>
      </x:c>
      <x:c r="J134" s="64" t="n">
        <x:v>1021</x:v>
      </x:c>
      <x:c r="K134" s="63" t="str">
        <x:v>Relevé Crédit Agricole Mars 2026</x:v>
      </x:c>
    </x:row>
    <x:row r="135">
      <x:c r="A135" s="74" t="n">
        <x:v>46098</x:v>
      </x:c>
      <x:c r="B135" s="63" t="str">
        <x:v>Mars</x:v>
      </x:c>
      <x:c r="C135" s="63" t="str">
        <x:v>Pennylane</x:v>
      </x:c>
      <x:c r="D135" s="63" t="str">
        <x:v>Carte</x:v>
      </x:c>
      <x:c r="E135" s="63" t="str">
        <x:v>Pennylane - Gael Mallet **5345</x:v>
      </x:c>
      <x:c r="F135" s="63" t="str">
        <x:v>Non</x:v>
      </x:c>
      <x:c r="G135" s="63" t="str">
        <x:v>Décaissement externe</x:v>
      </x:c>
      <x:c r="H135" s="63" t="str">
        <x:v>Communication, logiciels et abonnements</x:v>
      </x:c>
      <x:c r="I135" s="64" t="n">
        <x:v>0</x:v>
      </x:c>
      <x:c r="J135" s="64" t="n">
        <x:v>34.8</x:v>
      </x:c>
      <x:c r="K135" s="63" t="str">
        <x:v>ReleveCompte_Pennylane__mars_2026.pdf</x:v>
      </x:c>
    </x:row>
    <x:row r="136">
      <x:c r="A136" s="74" t="n">
        <x:v>46099</x:v>
      </x:c>
      <x:c r="B136" s="63" t="str">
        <x:v>Mars</x:v>
      </x:c>
      <x:c r="C136" s="63" t="str">
        <x:v>Crédit Agricole</x:v>
      </x:c>
      <x:c r="D136" s="63" t="str">
        <x:v>Virement interne</x:v>
      </x:c>
      <x:c r="E136" s="63" t="str">
        <x:v>Vir Inst vers Pennylane Tiers-li</x:v>
      </x:c>
      <x:c r="F136" s="63" t="str">
        <x:v>Oui</x:v>
      </x:c>
      <x:c r="G136" s="63" t="str">
        <x:v>Virement interne neutralisé</x:v>
      </x:c>
      <x:c r="H136" s="63" t="str">
        <x:v>Virements internes</x:v>
      </x:c>
      <x:c r="I136" s="64" t="n">
        <x:v>0</x:v>
      </x:c>
      <x:c r="J136" s="64" t="n">
        <x:v>3000</x:v>
      </x:c>
      <x:c r="K136" s="63" t="str">
        <x:v>Relevé Crédit Agricole Mars 2026</x:v>
      </x:c>
    </x:row>
    <x:row r="137">
      <x:c r="A137" s="74" t="n">
        <x:v>46099</x:v>
      </x:c>
      <x:c r="B137" s="63" t="str">
        <x:v>Mars</x:v>
      </x:c>
      <x:c r="C137" s="63" t="str">
        <x:v>Pennylane</x:v>
      </x:c>
      <x:c r="D137" s="63" t="str">
        <x:v>Virement</x:v>
      </x:c>
      <x:c r="E137" s="63" t="str">
        <x:v>FA2500830 DUTHOO SOC INFOR G G TIERSLIEU DU SUD TOURAINE</x:v>
      </x:c>
      <x:c r="F137" s="63" t="str">
        <x:v>Non</x:v>
      </x:c>
      <x:c r="G137" s="63" t="str">
        <x:v>Décaissement externe</x:v>
      </x:c>
      <x:c r="H137" s="63" t="str">
        <x:v>Prestations informatiques / Duthoo</x:v>
      </x:c>
      <x:c r="I137" s="64" t="n">
        <x:v>0</x:v>
      </x:c>
      <x:c r="J137" s="64" t="n">
        <x:v>1800</x:v>
      </x:c>
      <x:c r="K137" s="63" t="str">
        <x:v>ReleveCompte_Pennylane__mars_2026.pdf</x:v>
      </x:c>
    </x:row>
    <x:row r="138">
      <x:c r="A138" s="74" t="n">
        <x:v>46099</x:v>
      </x:c>
      <x:c r="B138" s="63" t="str">
        <x:v>Mars</x:v>
      </x:c>
      <x:c r="C138" s="63" t="str">
        <x:v>Pennylane</x:v>
      </x:c>
      <x:c r="D138" s="63" t="str">
        <x:v>Virement</x:v>
      </x:c>
      <x:c r="E138" s="63" t="str">
        <x:v>Transfer from ASSOC. TIERS-LIEU DU SUD TOURAINE</x:v>
      </x:c>
      <x:c r="F138" s="63" t="str">
        <x:v>Oui</x:v>
      </x:c>
      <x:c r="G138" s="63" t="str">
        <x:v>Virement interne neutralisé</x:v>
      </x:c>
      <x:c r="H138" s="63" t="str">
        <x:v>Virements internes</x:v>
      </x:c>
      <x:c r="I138" s="64" t="n">
        <x:v>3000</x:v>
      </x:c>
      <x:c r="J138" s="64" t="n">
        <x:v>0</x:v>
      </x:c>
      <x:c r="K138" s="63" t="str">
        <x:v>ReleveCompte_Pennylane__mars_2026.pdf</x:v>
      </x:c>
    </x:row>
    <x:row r="139">
      <x:c r="A139" s="74" t="n">
        <x:v>46101</x:v>
      </x:c>
      <x:c r="B139" s="63" t="str">
        <x:v>Mars</x:v>
      </x:c>
      <x:c r="C139" s="63" t="str">
        <x:v>Crédit Agricole</x:v>
      </x:c>
      <x:c r="D139" s="63" t="str">
        <x:v>Prélèvement</x:v>
      </x:c>
      <x:c r="E139" s="63" t="str">
        <x:v>Electricité de France</x:v>
      </x:c>
      <x:c r="F139" s="63" t="str">
        <x:v>Non</x:v>
      </x:c>
      <x:c r="G139" s="63" t="str">
        <x:v>Décaissement externe</x:v>
      </x:c>
      <x:c r="H139" s="63" t="str">
        <x:v>Électricité</x:v>
      </x:c>
      <x:c r="I139" s="64" t="n">
        <x:v>0</x:v>
      </x:c>
      <x:c r="J139" s="64" t="n">
        <x:v>103.91</x:v>
      </x:c>
      <x:c r="K139" s="63" t="str">
        <x:v>Relevé Crédit Agricole Mars 2026</x:v>
      </x:c>
    </x:row>
    <x:row r="140">
      <x:c r="A140" s="74" t="n">
        <x:v>46102</x:v>
      </x:c>
      <x:c r="B140" s="63" t="str">
        <x:v>Mars</x:v>
      </x:c>
      <x:c r="C140" s="63" t="str">
        <x:v>Pennylane</x:v>
      </x:c>
      <x:c r="D140" s="63" t="str">
        <x:v>Carte</x:v>
      </x:c>
      <x:c r="E140" s="63" t="str">
        <x:v>ASSTIERSLIEUBEAULIEU - Corentin Paquereau **6814</x:v>
      </x:c>
      <x:c r="F140" s="63" t="str">
        <x:v>Non</x:v>
      </x:c>
      <x:c r="G140" s="63" t="str">
        <x:v>Décaissement externe</x:v>
      </x:c>
      <x:c r="H140" s="63" t="str">
        <x:v>Achats, fournitures, restauration et événementiel</x:v>
      </x:c>
      <x:c r="I140" s="64" t="n">
        <x:v>0</x:v>
      </x:c>
      <x:c r="J140" s="64" t="n">
        <x:v>7.9</x:v>
      </x:c>
      <x:c r="K140" s="63" t="str">
        <x:v>ReleveCompte_Pennylane__mars_2026.pdf</x:v>
      </x:c>
    </x:row>
    <x:row r="141">
      <x:c r="A141" s="74" t="n">
        <x:v>46102</x:v>
      </x:c>
      <x:c r="B141" s="63" t="str">
        <x:v>Mars</x:v>
      </x:c>
      <x:c r="C141" s="63" t="str">
        <x:v>Pennylane</x:v>
      </x:c>
      <x:c r="D141" s="63" t="str">
        <x:v>Carte</x:v>
      </x:c>
      <x:c r="E141" s="63" t="str">
        <x:v>Notion - Gael Mallet **5345</x:v>
      </x:c>
      <x:c r="F141" s="63" t="str">
        <x:v>Non</x:v>
      </x:c>
      <x:c r="G141" s="63" t="str">
        <x:v>Décaissement externe</x:v>
      </x:c>
      <x:c r="H141" s="63" t="str">
        <x:v>Communication, logiciels et abonnements</x:v>
      </x:c>
      <x:c r="I141" s="64" t="n">
        <x:v>0</x:v>
      </x:c>
      <x:c r="J141" s="64" t="n">
        <x:v>34.5</x:v>
      </x:c>
      <x:c r="K141" s="63" t="str">
        <x:v>ReleveCompte_Pennylane__mars_2026.pdf</x:v>
      </x:c>
    </x:row>
    <x:row r="142">
      <x:c r="A142" s="74" t="n">
        <x:v>46104</x:v>
      </x:c>
      <x:c r="B142" s="63" t="str">
        <x:v>Mars</x:v>
      </x:c>
      <x:c r="C142" s="63" t="str">
        <x:v>Pennylane</x:v>
      </x:c>
      <x:c r="D142" s="63" t="str">
        <x:v>Virement</x:v>
      </x:c>
      <x:c r="E142" s="63" t="str">
        <x:v>FA0852 SARL LIOTTA TIERSLIEU DU SUD TOURAINE</x:v>
      </x:c>
      <x:c r="F142" s="63" t="str">
        <x:v>Non</x:v>
      </x:c>
      <x:c r="G142" s="63" t="str">
        <x:v>Décaissement externe</x:v>
      </x:c>
      <x:c r="H142" s="63" t="str">
        <x:v>Autres prestataires et dépenses d'actions</x:v>
      </x:c>
      <x:c r="I142" s="64" t="n">
        <x:v>0</x:v>
      </x:c>
      <x:c r="J142" s="64" t="n">
        <x:v>2000</x:v>
      </x:c>
      <x:c r="K142" s="63" t="str">
        <x:v>ReleveCompte_Pennylane__mars_2026.pdf</x:v>
      </x:c>
    </x:row>
    <x:row r="143">
      <x:c r="A143" s="74" t="n">
        <x:v>46105</x:v>
      </x:c>
      <x:c r="B143" s="63" t="str">
        <x:v>Mars</x:v>
      </x:c>
      <x:c r="C143" s="63" t="str">
        <x:v>Crédit Agricole</x:v>
      </x:c>
      <x:c r="D143" s="63" t="str">
        <x:v>Prélèvement</x:v>
      </x:c>
      <x:c r="E143" s="63" t="str">
        <x:v>DGFIP PAS</x:v>
      </x:c>
      <x:c r="F143" s="63" t="str">
        <x:v>Non</x:v>
      </x:c>
      <x:c r="G143" s="63" t="str">
        <x:v>Décaissement externe</x:v>
      </x:c>
      <x:c r="H143" s="63" t="str">
        <x:v>Prélèvement à la source / impôts</x:v>
      </x:c>
      <x:c r="I143" s="64" t="n">
        <x:v>0</x:v>
      </x:c>
      <x:c r="J143" s="64" t="n">
        <x:v>97</x:v>
      </x:c>
      <x:c r="K143" s="63" t="str">
        <x:v>Relevé Crédit Agricole Mars 2026</x:v>
      </x:c>
    </x:row>
    <x:row r="144">
      <x:c r="A144" s="74" t="n">
        <x:v>46105</x:v>
      </x:c>
      <x:c r="B144" s="63" t="str">
        <x:v>Mars</x:v>
      </x:c>
      <x:c r="C144" s="63" t="str">
        <x:v>Crédit Agricole</x:v>
      </x:c>
      <x:c r="D144" s="63" t="str">
        <x:v>Virement</x:v>
      </x:c>
      <x:c r="E144" s="63" t="str">
        <x:v>Ligue de l'enseignement - acompte O2R</x:v>
      </x:c>
      <x:c r="F144" s="63" t="str">
        <x:v>Non</x:v>
      </x:c>
      <x:c r="G144" s="63" t="str">
        <x:v>Encaissement externe</x:v>
      </x:c>
      <x:c r="H144" s="63" t="str">
        <x:v>Subventions et financements reçus</x:v>
      </x:c>
      <x:c r="I144" s="64" t="n">
        <x:v>5244.41</x:v>
      </x:c>
      <x:c r="J144" s="64" t="n">
        <x:v>0</x:v>
      </x:c>
      <x:c r="K144" s="63" t="str">
        <x:v>Relevé Crédit Agricole Mars 2026</x:v>
      </x:c>
    </x:row>
    <x:row r="145">
      <x:c r="A145" s="74" t="n">
        <x:v>46106</x:v>
      </x:c>
      <x:c r="B145" s="63" t="str">
        <x:v>Mars</x:v>
      </x:c>
      <x:c r="C145" s="63" t="str">
        <x:v>Crédit Agricole</x:v>
      </x:c>
      <x:c r="D145" s="63" t="str">
        <x:v>Prélèvement</x:v>
      </x:c>
      <x:c r="E145" s="63" t="str">
        <x:v>AG2R Reunica</x:v>
      </x:c>
      <x:c r="F145" s="63" t="str">
        <x:v>Non</x:v>
      </x:c>
      <x:c r="G145" s="63" t="str">
        <x:v>Décaissement externe</x:v>
      </x:c>
      <x:c r="H145" s="63" t="str">
        <x:v>Retraite et prévoyance</x:v>
      </x:c>
      <x:c r="I145" s="64" t="n">
        <x:v>0</x:v>
      </x:c>
      <x:c r="J145" s="64" t="n">
        <x:v>196.59</x:v>
      </x:c>
      <x:c r="K145" s="63" t="str">
        <x:v>Relevé Crédit Agricole Mars 2026</x:v>
      </x:c>
    </x:row>
    <x:row r="146">
      <x:c r="A146" s="74" t="n">
        <x:v>46106</x:v>
      </x:c>
      <x:c r="B146" s="63" t="str">
        <x:v>Mars</x:v>
      </x:c>
      <x:c r="C146" s="63" t="str">
        <x:v>Pennylane</x:v>
      </x:c>
      <x:c r="D146" s="63" t="str">
        <x:v>Virement</x:v>
      </x:c>
      <x:c r="E146" s="63" t="str">
        <x:v>176033713201728 CLEMENT MICKAEL TIERSLIEU DU SUD TOURAINE</x:v>
      </x:c>
      <x:c r="F146" s="63" t="str">
        <x:v>Non</x:v>
      </x:c>
      <x:c r="G146" s="63" t="str">
        <x:v>Décaissement externe</x:v>
      </x:c>
      <x:c r="H146" s="63" t="str">
        <x:v>Salaires nets</x:v>
      </x:c>
      <x:c r="I146" s="64" t="n">
        <x:v>0</x:v>
      </x:c>
      <x:c r="J146" s="64" t="n">
        <x:v>859.26</x:v>
      </x:c>
      <x:c r="K146" s="63" t="str">
        <x:v>ReleveCompte_Pennylane__mars_2026.pdf</x:v>
      </x:c>
    </x:row>
    <x:row r="147">
      <x:c r="A147" s="74" t="n">
        <x:v>46106</x:v>
      </x:c>
      <x:c r="B147" s="63" t="str">
        <x:v>Mars</x:v>
      </x:c>
      <x:c r="C147" s="63" t="str">
        <x:v>Pennylane</x:v>
      </x:c>
      <x:c r="D147" s="63" t="str">
        <x:v>Virement</x:v>
      </x:c>
      <x:c r="E147" s="63" t="str">
        <x:v>176033713201728 CLEMENT MICKAEL TIERSLIEU DU SUD TOURAINE</x:v>
      </x:c>
      <x:c r="F147" s="63" t="str">
        <x:v>Non</x:v>
      </x:c>
      <x:c r="G147" s="63" t="str">
        <x:v>Décaissement externe</x:v>
      </x:c>
      <x:c r="H147" s="63" t="str">
        <x:v>Salaires nets</x:v>
      </x:c>
      <x:c r="I147" s="64" t="n">
        <x:v>0</x:v>
      </x:c>
      <x:c r="J147" s="64" t="n">
        <x:v>938.76</x:v>
      </x:c>
      <x:c r="K147" s="63" t="str">
        <x:v>ReleveCompte_Pennylane__mars_2026.pdf</x:v>
      </x:c>
    </x:row>
    <x:row r="148">
      <x:c r="A148" s="74" t="n">
        <x:v>46106</x:v>
      </x:c>
      <x:c r="B148" s="63" t="str">
        <x:v>Mars</x:v>
      </x:c>
      <x:c r="C148" s="63" t="str">
        <x:v>Pennylane</x:v>
      </x:c>
      <x:c r="D148" s="63" t="str">
        <x:v>Virement</x:v>
      </x:c>
      <x:c r="E148" s="63" t="str">
        <x:v>176033713201728 CLEMENT MICKAEL TIERSLIEU DU SUD TOURAINE</x:v>
      </x:c>
      <x:c r="F148" s="63" t="str">
        <x:v>Non</x:v>
      </x:c>
      <x:c r="G148" s="63" t="str">
        <x:v>Décaissement externe</x:v>
      </x:c>
      <x:c r="H148" s="63" t="str">
        <x:v>Salaires nets</x:v>
      </x:c>
      <x:c r="I148" s="64" t="n">
        <x:v>0</x:v>
      </x:c>
      <x:c r="J148" s="64" t="n">
        <x:v>16.16</x:v>
      </x:c>
      <x:c r="K148" s="63" t="str">
        <x:v>ReleveCompte_Pennylane__mars_2026.pdf</x:v>
      </x:c>
    </x:row>
    <x:row r="149">
      <x:c r="A149" s="74" t="n">
        <x:v>46106</x:v>
      </x:c>
      <x:c r="B149" s="63" t="str">
        <x:v>Mars</x:v>
      </x:c>
      <x:c r="C149" s="63" t="str">
        <x:v>Pennylane</x:v>
      </x:c>
      <x:c r="D149" s="63" t="str">
        <x:v>Virement</x:v>
      </x:c>
      <x:c r="E149" s="63" t="str">
        <x:v>FA0142807 2025001 APST37 TIERSLIEU DU SUD TOURAINE</x:v>
      </x:c>
      <x:c r="F149" s="63" t="str">
        <x:v>Non</x:v>
      </x:c>
      <x:c r="G149" s="63" t="str">
        <x:v>Décaissement externe</x:v>
      </x:c>
      <x:c r="H149" s="63" t="str">
        <x:v>Médecine du travail / frais de personnel</x:v>
      </x:c>
      <x:c r="I149" s="64" t="n">
        <x:v>0</x:v>
      </x:c>
      <x:c r="J149" s="64" t="n">
        <x:v>256.8</x:v>
      </x:c>
      <x:c r="K149" s="63" t="str">
        <x:v>ReleveCompte_Pennylane__mars_2026.pdf</x:v>
      </x:c>
    </x:row>
    <x:row r="150">
      <x:c r="A150" s="74" t="n">
        <x:v>46106</x:v>
      </x:c>
      <x:c r="B150" s="63" t="str">
        <x:v>Mars</x:v>
      </x:c>
      <x:c r="C150" s="63" t="str">
        <x:v>Pennylane</x:v>
      </x:c>
      <x:c r="D150" s="63" t="str">
        <x:v>Virement</x:v>
      </x:c>
      <x:c r="E150" s="63" t="str">
        <x:v>Notes de frais - Corentin Paquereau (1)</x:v>
      </x:c>
      <x:c r="F150" s="63" t="str">
        <x:v>Non</x:v>
      </x:c>
      <x:c r="G150" s="63" t="str">
        <x:v>Décaissement externe</x:v>
      </x:c>
      <x:c r="H150" s="63" t="str">
        <x:v>Déplacements, hébergement et notes de frais</x:v>
      </x:c>
      <x:c r="I150" s="64" t="n">
        <x:v>0</x:v>
      </x:c>
      <x:c r="J150" s="64" t="n">
        <x:v>14.55</x:v>
      </x:c>
      <x:c r="K150" s="63" t="str">
        <x:v>ReleveCompte_Pennylane__mars_2026.pdf</x:v>
      </x:c>
    </x:row>
    <x:row r="151">
      <x:c r="A151" s="74" t="n">
        <x:v>46106</x:v>
      </x:c>
      <x:c r="B151" s="63" t="str">
        <x:v>Mars</x:v>
      </x:c>
      <x:c r="C151" s="63" t="str">
        <x:v>Pennylane</x:v>
      </x:c>
      <x:c r="D151" s="63" t="str">
        <x:v>Virement</x:v>
      </x:c>
      <x:c r="E151" s="63" t="str">
        <x:v>Notes de frais - Céline Dagorn (1)</x:v>
      </x:c>
      <x:c r="F151" s="63" t="str">
        <x:v>Non</x:v>
      </x:c>
      <x:c r="G151" s="63" t="str">
        <x:v>Décaissement externe</x:v>
      </x:c>
      <x:c r="H151" s="63" t="str">
        <x:v>Déplacements, hébergement et notes de frais</x:v>
      </x:c>
      <x:c r="I151" s="64" t="n">
        <x:v>0</x:v>
      </x:c>
      <x:c r="J151" s="64" t="n">
        <x:v>9.32</x:v>
      </x:c>
      <x:c r="K151" s="63" t="str">
        <x:v>ReleveCompte_Pennylane__mars_2026.pdf</x:v>
      </x:c>
    </x:row>
    <x:row r="152">
      <x:c r="A152" s="74" t="n">
        <x:v>46107</x:v>
      </x:c>
      <x:c r="B152" s="63" t="str">
        <x:v>Mars</x:v>
      </x:c>
      <x:c r="C152" s="63" t="str">
        <x:v>Crédit Agricole</x:v>
      </x:c>
      <x:c r="D152" s="63" t="str">
        <x:v>Prélèvement</x:v>
      </x:c>
      <x:c r="E152" s="63" t="str">
        <x:v>Harmonie Mutuelle</x:v>
      </x:c>
      <x:c r="F152" s="63" t="str">
        <x:v>Non</x:v>
      </x:c>
      <x:c r="G152" s="63" t="str">
        <x:v>Décaissement externe</x:v>
      </x:c>
      <x:c r="H152" s="63" t="str">
        <x:v>Mutuelle santé</x:v>
      </x:c>
      <x:c r="I152" s="64" t="n">
        <x:v>0</x:v>
      </x:c>
      <x:c r="J152" s="64" t="n">
        <x:v>424.12</x:v>
      </x:c>
      <x:c r="K152" s="63" t="str">
        <x:v>Relevé Crédit Agricole Mars 2026</x:v>
      </x:c>
    </x:row>
    <x:row r="153">
      <x:c r="A153" s="74" t="n">
        <x:v>46107</x:v>
      </x:c>
      <x:c r="B153" s="63" t="str">
        <x:v>Mars</x:v>
      </x:c>
      <x:c r="C153" s="63" t="str">
        <x:v>Crédit Agricole</x:v>
      </x:c>
      <x:c r="D153" s="63" t="str">
        <x:v>Virement interne</x:v>
      </x:c>
      <x:c r="E153" s="63" t="str">
        <x:v>Vir Inst vers Pennylane Tiers-li</x:v>
      </x:c>
      <x:c r="F153" s="63" t="str">
        <x:v>Oui</x:v>
      </x:c>
      <x:c r="G153" s="63" t="str">
        <x:v>Virement interne neutralisé</x:v>
      </x:c>
      <x:c r="H153" s="63" t="str">
        <x:v>Virements internes</x:v>
      </x:c>
      <x:c r="I153" s="64" t="n">
        <x:v>0</x:v>
      </x:c>
      <x:c r="J153" s="64" t="n">
        <x:v>9000</x:v>
      </x:c>
      <x:c r="K153" s="63" t="str">
        <x:v>Relevé Crédit Agricole Mars 2026</x:v>
      </x:c>
    </x:row>
    <x:row r="154">
      <x:c r="A154" s="74" t="n">
        <x:v>46107</x:v>
      </x:c>
      <x:c r="B154" s="63" t="str">
        <x:v>Mars</x:v>
      </x:c>
      <x:c r="C154" s="63" t="str">
        <x:v>Pennylane</x:v>
      </x:c>
      <x:c r="D154" s="63" t="str">
        <x:v>Virement</x:v>
      </x:c>
      <x:c r="E154" s="63" t="str">
        <x:v>F2025093 TIERSLIEU DU SUD TOURAINE TIERSLIEU DU SUD TOURAINE</x:v>
      </x:c>
      <x:c r="F154" s="63" t="str">
        <x:v>Non</x:v>
      </x:c>
      <x:c r="G154" s="63" t="str">
        <x:v>Décaissement externe</x:v>
      </x:c>
      <x:c r="H154" s="63" t="str">
        <x:v>Achats, fournitures, restauration et événementiel</x:v>
      </x:c>
      <x:c r="I154" s="64" t="n">
        <x:v>0</x:v>
      </x:c>
      <x:c r="J154" s="64" t="n">
        <x:v>761.57</x:v>
      </x:c>
      <x:c r="K154" s="63" t="str">
        <x:v>ReleveCompte_Pennylane__mars_2026.pdf</x:v>
      </x:c>
    </x:row>
    <x:row r="155">
      <x:c r="A155" s="74" t="n">
        <x:v>46107</x:v>
      </x:c>
      <x:c r="B155" s="63" t="str">
        <x:v>Mars</x:v>
      </x:c>
      <x:c r="C155" s="63" t="str">
        <x:v>Pennylane</x:v>
      </x:c>
      <x:c r="D155" s="63" t="str">
        <x:v>Virement</x:v>
      </x:c>
      <x:c r="E155" s="63" t="str">
        <x:v>Transfer from ASSOC. TIERS-LIEU DU SUD TOURAINE</x:v>
      </x:c>
      <x:c r="F155" s="63" t="str">
        <x:v>Oui</x:v>
      </x:c>
      <x:c r="G155" s="63" t="str">
        <x:v>Virement interne neutralisé</x:v>
      </x:c>
      <x:c r="H155" s="63" t="str">
        <x:v>Virements internes</x:v>
      </x:c>
      <x:c r="I155" s="64" t="n">
        <x:v>9000</x:v>
      </x:c>
      <x:c r="J155" s="64" t="n">
        <x:v>0</x:v>
      </x:c>
      <x:c r="K155" s="63" t="str">
        <x:v>ReleveCompte_Pennylane__mars_2026.pdf</x:v>
      </x:c>
    </x:row>
    <x:row r="156">
      <x:c r="A156" s="74" t="n">
        <x:v>46108</x:v>
      </x:c>
      <x:c r="B156" s="63" t="str">
        <x:v>Mars</x:v>
      </x:c>
      <x:c r="C156" s="63" t="str">
        <x:v>Crédit Agricole</x:v>
      </x:c>
      <x:c r="D156" s="63" t="str">
        <x:v>Virement</x:v>
      </x:c>
      <x:c r="E156" s="63" t="str">
        <x:v>Stripe</x:v>
      </x:c>
      <x:c r="F156" s="63" t="str">
        <x:v>Non</x:v>
      </x:c>
      <x:c r="G156" s="63" t="str">
        <x:v>Encaissement externe</x:v>
      </x:c>
      <x:c r="H156" s="63" t="str">
        <x:v>Prestations, ventes et produits d'activité</x:v>
      </x:c>
      <x:c r="I156" s="64" t="n">
        <x:v>210</x:v>
      </x:c>
      <x:c r="J156" s="64" t="n">
        <x:v>0</x:v>
      </x:c>
      <x:c r="K156" s="63" t="str">
        <x:v>Relevé Crédit Agricole Mars 2026</x:v>
      </x:c>
    </x:row>
    <x:row r="157">
      <x:c r="A157" s="74" t="n">
        <x:v>46108</x:v>
      </x:c>
      <x:c r="B157" s="63" t="str">
        <x:v>Mars</x:v>
      </x:c>
      <x:c r="C157" s="63" t="str">
        <x:v>Pennylane</x:v>
      </x:c>
      <x:c r="D157" s="63" t="str">
        <x:v>Virement</x:v>
      </x:c>
      <x:c r="E157" s="63" t="str">
        <x:v>Notes de frais - Corentin Paquereau (1)</x:v>
      </x:c>
      <x:c r="F157" s="63" t="str">
        <x:v>Non</x:v>
      </x:c>
      <x:c r="G157" s="63" t="str">
        <x:v>Décaissement externe</x:v>
      </x:c>
      <x:c r="H157" s="63" t="str">
        <x:v>Déplacements, hébergement et notes de frais</x:v>
      </x:c>
      <x:c r="I157" s="64" t="n">
        <x:v>0</x:v>
      </x:c>
      <x:c r="J157" s="64" t="n">
        <x:v>21.21</x:v>
      </x:c>
      <x:c r="K157" s="63" t="str">
        <x:v>ReleveCompte_Pennylane__mars_2026.pdf</x:v>
      </x:c>
    </x:row>
    <x:row r="158">
      <x:c r="A158" s="74" t="n">
        <x:v>46111</x:v>
      </x:c>
      <x:c r="B158" s="63" t="str">
        <x:v>Mars</x:v>
      </x:c>
      <x:c r="C158" s="63" t="str">
        <x:v>Crédit Agricole</x:v>
      </x:c>
      <x:c r="D158" s="63" t="str">
        <x:v>Virement</x:v>
      </x:c>
      <x:c r="E158" s="63" t="str">
        <x:v>SIE Amboise</x:v>
      </x:c>
      <x:c r="F158" s="63" t="str">
        <x:v>Non</x:v>
      </x:c>
      <x:c r="G158" s="63" t="str">
        <x:v>Encaissement externe</x:v>
      </x:c>
      <x:c r="H158" s="63" t="str">
        <x:v>Subventions et financements reçus</x:v>
      </x:c>
      <x:c r="I158" s="64" t="n">
        <x:v>1572</x:v>
      </x:c>
      <x:c r="J158" s="64" t="n">
        <x:v>0</x:v>
      </x:c>
      <x:c r="K158" s="63" t="str">
        <x:v>Relevé Crédit Agricole Mars 2026</x:v>
      </x:c>
    </x:row>
    <x:row r="159">
      <x:c r="A159" s="74" t="n">
        <x:v>46112</x:v>
      </x:c>
      <x:c r="B159" s="63" t="str">
        <x:v>Mars</x:v>
      </x:c>
      <x:c r="C159" s="63" t="str">
        <x:v>Pennylane</x:v>
      </x:c>
      <x:c r="D159" s="63" t="str">
        <x:v>Virement</x:v>
      </x:c>
      <x:c r="E159" s="63" t="str">
        <x:v>100078509228359 PAQUEREAU Corentin TIERSLIEU DU SUD TOURAINE</x:v>
      </x:c>
      <x:c r="F159" s="63" t="str">
        <x:v>Non</x:v>
      </x:c>
      <x:c r="G159" s="63" t="str">
        <x:v>Décaissement externe</x:v>
      </x:c>
      <x:c r="H159" s="63" t="str">
        <x:v>Salaires nets</x:v>
      </x:c>
      <x:c r="I159" s="64" t="n">
        <x:v>0</x:v>
      </x:c>
      <x:c r="J159" s="64" t="n">
        <x:v>1814.68</x:v>
      </x:c>
      <x:c r="K159" s="63" t="str">
        <x:v>ReleveCompte_Pennylane__mars_2026.pdf</x:v>
      </x:c>
    </x:row>
    <x:row r="160">
      <x:c r="A160" s="74" t="n">
        <x:v>46112</x:v>
      </x:c>
      <x:c r="B160" s="63" t="str">
        <x:v>Mars</x:v>
      </x:c>
      <x:c r="C160" s="63" t="str">
        <x:v>Pennylane</x:v>
      </x:c>
      <x:c r="D160" s="63" t="str">
        <x:v>Virement</x:v>
      </x:c>
      <x:c r="E160" s="63" t="str">
        <x:v>279053726113150 DAGORN CELINE TIERSLIEU DU SUD TOURAINE</x:v>
      </x:c>
      <x:c r="F160" s="63" t="str">
        <x:v>Non</x:v>
      </x:c>
      <x:c r="G160" s="63" t="str">
        <x:v>Décaissement externe</x:v>
      </x:c>
      <x:c r="H160" s="63" t="str">
        <x:v>Salaires nets</x:v>
      </x:c>
      <x:c r="I160" s="64" t="n">
        <x:v>0</x:v>
      </x:c>
      <x:c r="J160" s="64" t="n">
        <x:v>608.62</x:v>
      </x:c>
      <x:c r="K160" s="63" t="str">
        <x:v>ReleveCompte_Pennylane__mars_2026.pdf</x:v>
      </x:c>
    </x:row>
    <x:row r="161">
      <x:c r="A161" s="74" t="n">
        <x:v>46112</x:v>
      </x:c>
      <x:c r="B161" s="63" t="str">
        <x:v>Mars</x:v>
      </x:c>
      <x:c r="C161" s="63" t="str">
        <x:v>Pennylane</x:v>
      </x:c>
      <x:c r="D161" s="63" t="str">
        <x:v>Virement</x:v>
      </x:c>
      <x:c r="E161" s="63" t="str">
        <x:v>282013726112341 BOIREAU EMMANUELLE TIERSLIEU DU SUD TOURAINE</x:v>
      </x:c>
      <x:c r="F161" s="63" t="str">
        <x:v>Non</x:v>
      </x:c>
      <x:c r="G161" s="63" t="str">
        <x:v>Décaissement externe</x:v>
      </x:c>
      <x:c r="H161" s="63" t="str">
        <x:v>Salaires nets</x:v>
      </x:c>
      <x:c r="I161" s="64" t="n">
        <x:v>0</x:v>
      </x:c>
      <x:c r="J161" s="64" t="n">
        <x:v>588.31</x:v>
      </x:c>
      <x:c r="K161" s="63" t="str">
        <x:v>ReleveCompte_Pennylane__mars_2026.pdf</x:v>
      </x:c>
    </x:row>
    <x:row r="162">
      <x:c r="A162" s="74" t="n">
        <x:v>46113</x:v>
      </x:c>
      <x:c r="B162" s="63" t="str">
        <x:v>Avril</x:v>
      </x:c>
      <x:c r="C162" s="63" t="str">
        <x:v>Crédit Agricole</x:v>
      </x:c>
      <x:c r="D162" s="63" t="str">
        <x:v>Virement</x:v>
      </x:c>
      <x:c r="E162" s="63" t="str">
        <x:v>Ligue de l'enseignement - solde O2R</x:v>
      </x:c>
      <x:c r="F162" s="63" t="str">
        <x:v>Non</x:v>
      </x:c>
      <x:c r="G162" s="63" t="str">
        <x:v>Encaissement externe</x:v>
      </x:c>
      <x:c r="H162" s="63" t="str">
        <x:v>Subventions et financements reçus</x:v>
      </x:c>
      <x:c r="I162" s="64" t="n">
        <x:v>827.5</x:v>
      </x:c>
      <x:c r="J162" s="64" t="n">
        <x:v>0</x:v>
      </x:c>
      <x:c r="K162" s="63" t="str">
        <x:v>Relevé Crédit Agricole Avril 2026</x:v>
      </x:c>
    </x:row>
    <x:row r="163">
      <x:c r="A163" s="74" t="n">
        <x:v>46113</x:v>
      </x:c>
      <x:c r="B163" s="63" t="str">
        <x:v>Avril</x:v>
      </x:c>
      <x:c r="C163" s="63" t="str">
        <x:v>Pennylane</x:v>
      </x:c>
      <x:c r="D163" s="63" t="str">
        <x:v>Virement</x:v>
      </x:c>
      <x:c r="E163" s="63" t="str">
        <x:v>FA2600041 DUTHOO SOC INFOR G G TIERSLIEU DU SUD TOURAINE</x:v>
      </x:c>
      <x:c r="F163" s="63" t="str">
        <x:v>Non</x:v>
      </x:c>
      <x:c r="G163" s="63" t="str">
        <x:v>Décaissement externe</x:v>
      </x:c>
      <x:c r="H163" s="63" t="str">
        <x:v>Prestations informatiques / Duthoo</x:v>
      </x:c>
      <x:c r="I163" s="64" t="n">
        <x:v>0</x:v>
      </x:c>
      <x:c r="J163" s="64" t="n">
        <x:v>1800</x:v>
      </x:c>
      <x:c r="K163" s="63" t="str">
        <x:v>ReleveCompte_Pennylane__avril_2026.pdf</x:v>
      </x:c>
    </x:row>
    <x:row r="164">
      <x:c r="A164" s="74" t="n">
        <x:v>46113</x:v>
      </x:c>
      <x:c r="B164" s="63" t="str">
        <x:v>Avril</x:v>
      </x:c>
      <x:c r="C164" s="63" t="str">
        <x:v>Pennylane</x:v>
      </x:c>
      <x:c r="D164" s="63" t="str">
        <x:v>Carte</x:v>
      </x:c>
      <x:c r="E164" s="63" t="str">
        <x:v>Pennylane - Gael Mallet **5345</x:v>
      </x:c>
      <x:c r="F164" s="63" t="str">
        <x:v>Non</x:v>
      </x:c>
      <x:c r="G164" s="63" t="str">
        <x:v>Décaissement externe</x:v>
      </x:c>
      <x:c r="H164" s="63" t="str">
        <x:v>Communication, logiciels et abonnements</x:v>
      </x:c>
      <x:c r="I164" s="64" t="n">
        <x:v>0</x:v>
      </x:c>
      <x:c r="J164" s="64" t="n">
        <x:v>94.8</x:v>
      </x:c>
      <x:c r="K164" s="63" t="str">
        <x:v>ReleveCompte_Pennylane__avril_2026.pdf</x:v>
      </x:c>
    </x:row>
    <x:row r="165">
      <x:c r="A165" s="74" t="n">
        <x:v>46113</x:v>
      </x:c>
      <x:c r="B165" s="63" t="str">
        <x:v>Avril</x:v>
      </x:c>
      <x:c r="C165" s="63" t="str">
        <x:v>Pennylane</x:v>
      </x:c>
      <x:c r="D165" s="63" t="str">
        <x:v>Carte</x:v>
      </x:c>
      <x:c r="E165" s="63" t="str">
        <x:v>SIMPLY LOCHES - Corentin Paquereau **6814</x:v>
      </x:c>
      <x:c r="F165" s="63" t="str">
        <x:v>Non</x:v>
      </x:c>
      <x:c r="G165" s="63" t="str">
        <x:v>Décaissement externe</x:v>
      </x:c>
      <x:c r="H165" s="63" t="str">
        <x:v>Achats, fournitures, restauration et événementiel</x:v>
      </x:c>
      <x:c r="I165" s="64" t="n">
        <x:v>0</x:v>
      </x:c>
      <x:c r="J165" s="64" t="n">
        <x:v>2.69</x:v>
      </x:c>
      <x:c r="K165" s="63" t="str">
        <x:v>ReleveCompte_Pennylane__avril_2026.pdf</x:v>
      </x:c>
    </x:row>
    <x:row r="166">
      <x:c r="A166" s="74" t="n">
        <x:v>46114</x:v>
      </x:c>
      <x:c r="B166" s="63" t="str">
        <x:v>Avril</x:v>
      </x:c>
      <x:c r="C166" s="63" t="str">
        <x:v>Pennylane</x:v>
      </x:c>
      <x:c r="D166" s="63" t="str">
        <x:v>Carte</x:v>
      </x:c>
      <x:c r="E166" s="63" t="str">
        <x:v>Amazon - Gael Mallet **5345</x:v>
      </x:c>
      <x:c r="F166" s="63" t="str">
        <x:v>Non</x:v>
      </x:c>
      <x:c r="G166" s="63" t="str">
        <x:v>Décaissement externe</x:v>
      </x:c>
      <x:c r="H166" s="63" t="str">
        <x:v>Achats, fournitures, restauration et événementiel</x:v>
      </x:c>
      <x:c r="I166" s="64" t="n">
        <x:v>0</x:v>
      </x:c>
      <x:c r="J166" s="64" t="n">
        <x:v>471.87</x:v>
      </x:c>
      <x:c r="K166" s="63" t="str">
        <x:v>ReleveCompte_Pennylane__avril_2026.pdf</x:v>
      </x:c>
    </x:row>
    <x:row r="167">
      <x:c r="A167" s="74" t="n">
        <x:v>46114</x:v>
      </x:c>
      <x:c r="B167" s="63" t="str">
        <x:v>Avril</x:v>
      </x:c>
      <x:c r="C167" s="63" t="str">
        <x:v>Pennylane</x:v>
      </x:c>
      <x:c r="D167" s="63" t="str">
        <x:v>Virement</x:v>
      </x:c>
      <x:c r="E167" s="63" t="str">
        <x:v>FA2600193 DUTHOO SOC INFOR G G TIERSLIEU DU SUD TOURAINE</x:v>
      </x:c>
      <x:c r="F167" s="63" t="str">
        <x:v>Non</x:v>
      </x:c>
      <x:c r="G167" s="63" t="str">
        <x:v>Décaissement externe</x:v>
      </x:c>
      <x:c r="H167" s="63" t="str">
        <x:v>Prestations informatiques / Duthoo</x:v>
      </x:c>
      <x:c r="I167" s="64" t="n">
        <x:v>0</x:v>
      </x:c>
      <x:c r="J167" s="64" t="n">
        <x:v>1800</x:v>
      </x:c>
      <x:c r="K167" s="63" t="str">
        <x:v>ReleveCompte_Pennylane__avril_2026.pdf</x:v>
      </x:c>
    </x:row>
    <x:row r="168">
      <x:c r="A168" s="74" t="n">
        <x:v>46114</x:v>
      </x:c>
      <x:c r="B168" s="63" t="str">
        <x:v>Avril</x:v>
      </x:c>
      <x:c r="C168" s="63" t="str">
        <x:v>Pennylane</x:v>
      </x:c>
      <x:c r="D168" s="63" t="str">
        <x:v>Virement</x:v>
      </x:c>
      <x:c r="E168" s="63" t="str">
        <x:v>VIR. DE MME VANLAER C - MARS</x:v>
      </x:c>
      <x:c r="F168" s="63" t="str">
        <x:v>Non</x:v>
      </x:c>
      <x:c r="G168" s="63" t="str">
        <x:v>Encaissement externe</x:v>
      </x:c>
      <x:c r="H168" s="63" t="str">
        <x:v>Remboursements et avoirs</x:v>
      </x:c>
      <x:c r="I168" s="64" t="n">
        <x:v>28.79</x:v>
      </x:c>
      <x:c r="J168" s="64" t="n">
        <x:v>0</x:v>
      </x:c>
      <x:c r="K168" s="63" t="str">
        <x:v>ReleveCompte_Pennylane__avril_2026.pdf</x:v>
      </x:c>
    </x:row>
    <x:row r="169">
      <x:c r="A169" s="74" t="n">
        <x:v>46118</x:v>
      </x:c>
      <x:c r="B169" s="63" t="str">
        <x:v>Avril</x:v>
      </x:c>
      <x:c r="C169" s="63" t="str">
        <x:v>Pennylane</x:v>
      </x:c>
      <x:c r="D169" s="63" t="str">
        <x:v>Carte</x:v>
      </x:c>
      <x:c r="E169" s="63" t="str">
        <x:v>La Nouvelle République - Gael Mallet **5345</x:v>
      </x:c>
      <x:c r="F169" s="63" t="str">
        <x:v>Non</x:v>
      </x:c>
      <x:c r="G169" s="63" t="str">
        <x:v>Décaissement externe</x:v>
      </x:c>
      <x:c r="H169" s="63" t="str">
        <x:v>Communication, logiciels et abonnements</x:v>
      </x:c>
      <x:c r="I169" s="64" t="n">
        <x:v>0</x:v>
      </x:c>
      <x:c r="J169" s="64" t="n">
        <x:v>14.9</x:v>
      </x:c>
      <x:c r="K169" s="63" t="str">
        <x:v>ReleveCompte_Pennylane__avril_2026.pdf</x:v>
      </x:c>
    </x:row>
    <x:row r="170">
      <x:c r="A170" s="74" t="n">
        <x:v>46119</x:v>
      </x:c>
      <x:c r="B170" s="63" t="str">
        <x:v>Avril</x:v>
      </x:c>
      <x:c r="C170" s="63" t="str">
        <x:v>Crédit Agricole</x:v>
      </x:c>
      <x:c r="D170" s="63" t="str">
        <x:v>Prélèvement</x:v>
      </x:c>
      <x:c r="E170" s="63" t="str">
        <x:v>AXA France IARD SA</x:v>
      </x:c>
      <x:c r="F170" s="63" t="str">
        <x:v>Non</x:v>
      </x:c>
      <x:c r="G170" s="63" t="str">
        <x:v>Décaissement externe</x:v>
      </x:c>
      <x:c r="H170" s="63" t="str">
        <x:v>Assurances</x:v>
      </x:c>
      <x:c r="I170" s="64" t="n">
        <x:v>0</x:v>
      </x:c>
      <x:c r="J170" s="64" t="n">
        <x:v>192.75</x:v>
      </x:c>
      <x:c r="K170" s="63" t="str">
        <x:v>Relevé Crédit Agricole Avril 2026</x:v>
      </x:c>
    </x:row>
    <x:row r="171">
      <x:c r="A171" s="74" t="n">
        <x:v>46119</x:v>
      </x:c>
      <x:c r="B171" s="63" t="str">
        <x:v>Avril</x:v>
      </x:c>
      <x:c r="C171" s="63" t="str">
        <x:v>Crédit Agricole</x:v>
      </x:c>
      <x:c r="D171" s="63" t="str">
        <x:v>Virement</x:v>
      </x:c>
      <x:c r="E171" s="63" t="str">
        <x:v>CIAP Coopérative d'installation</x:v>
      </x:c>
      <x:c r="F171" s="63" t="str">
        <x:v>Non</x:v>
      </x:c>
      <x:c r="G171" s="63" t="str">
        <x:v>Encaissement externe</x:v>
      </x:c>
      <x:c r="H171" s="63" t="str">
        <x:v>Subventions et financements reçus</x:v>
      </x:c>
      <x:c r="I171" s="64" t="n">
        <x:v>20</x:v>
      </x:c>
      <x:c r="J171" s="64" t="n">
        <x:v>0</x:v>
      </x:c>
      <x:c r="K171" s="63" t="str">
        <x:v>Relevé Crédit Agricole Avril 2026</x:v>
      </x:c>
    </x:row>
    <x:row r="172">
      <x:c r="A172" s="74" t="n">
        <x:v>46119</x:v>
      </x:c>
      <x:c r="B172" s="63" t="str">
        <x:v>Avril</x:v>
      </x:c>
      <x:c r="C172" s="63" t="str">
        <x:v>Crédit Agricole</x:v>
      </x:c>
      <x:c r="D172" s="63" t="str">
        <x:v>Virement interne</x:v>
      </x:c>
      <x:c r="E172" s="63" t="str">
        <x:v>Vir Inst vers Pennylane Tiers-li</x:v>
      </x:c>
      <x:c r="F172" s="63" t="str">
        <x:v>Oui</x:v>
      </x:c>
      <x:c r="G172" s="63" t="str">
        <x:v>Virement interne neutralisé</x:v>
      </x:c>
      <x:c r="H172" s="63" t="str">
        <x:v>Virements internes</x:v>
      </x:c>
      <x:c r="I172" s="64" t="n">
        <x:v>0</x:v>
      </x:c>
      <x:c r="J172" s="64" t="n">
        <x:v>5000</x:v>
      </x:c>
      <x:c r="K172" s="63" t="str">
        <x:v>Relevé Crédit Agricole Avril 2026</x:v>
      </x:c>
    </x:row>
    <x:row r="173">
      <x:c r="A173" s="74" t="n">
        <x:v>46119</x:v>
      </x:c>
      <x:c r="B173" s="63" t="str">
        <x:v>Avril</x:v>
      </x:c>
      <x:c r="C173" s="63" t="str">
        <x:v>Crédit Agricole</x:v>
      </x:c>
      <x:c r="D173" s="63" t="str">
        <x:v>Virement interne</x:v>
      </x:c>
      <x:c r="E173" s="63" t="str">
        <x:v>Vir Inst vers Pennylane Tiers-li</x:v>
      </x:c>
      <x:c r="F173" s="63" t="str">
        <x:v>Oui</x:v>
      </x:c>
      <x:c r="G173" s="63" t="str">
        <x:v>Virement interne neutralisé</x:v>
      </x:c>
      <x:c r="H173" s="63" t="str">
        <x:v>Virements internes</x:v>
      </x:c>
      <x:c r="I173" s="64" t="n">
        <x:v>0</x:v>
      </x:c>
      <x:c r="J173" s="64" t="n">
        <x:v>5000</x:v>
      </x:c>
      <x:c r="K173" s="63" t="str">
        <x:v>Relevé Crédit Agricole Avril 2026</x:v>
      </x:c>
    </x:row>
    <x:row r="174">
      <x:c r="A174" s="74" t="n">
        <x:v>46119</x:v>
      </x:c>
      <x:c r="B174" s="63" t="str">
        <x:v>Avril</x:v>
      </x:c>
      <x:c r="C174" s="63" t="str">
        <x:v>Pennylane</x:v>
      </x:c>
      <x:c r="D174" s="63" t="str">
        <x:v>Virement</x:v>
      </x:c>
      <x:c r="E174" s="63" t="str">
        <x:v>2504080 CONSTRUCTIONS METALLIQUES PIOT TIERSLIEU DU SUD</x:v>
      </x:c>
      <x:c r="F174" s="63" t="str">
        <x:v>Non</x:v>
      </x:c>
      <x:c r="G174" s="63" t="str">
        <x:v>Décaissement externe</x:v>
      </x:c>
      <x:c r="H174" s="63" t="str">
        <x:v>Travaux et investissements</x:v>
      </x:c>
      <x:c r="I174" s="64" t="n">
        <x:v>0</x:v>
      </x:c>
      <x:c r="J174" s="64" t="n">
        <x:v>2000</x:v>
      </x:c>
      <x:c r="K174" s="63" t="str">
        <x:v>ReleveCompte_Pennylane__avril_2026.pdf</x:v>
      </x:c>
    </x:row>
    <x:row r="175">
      <x:c r="A175" s="74" t="n">
        <x:v>46119</x:v>
      </x:c>
      <x:c r="B175" s="63" t="str">
        <x:v>Avril</x:v>
      </x:c>
      <x:c r="C175" s="63" t="str">
        <x:v>Pennylane</x:v>
      </x:c>
      <x:c r="D175" s="63" t="str">
        <x:v>Virement</x:v>
      </x:c>
      <x:c r="E175" s="63" t="str">
        <x:v>F202604544 O3 EXPERTISE COMPTABLE TIERSLIEU DU SUD TOURAINE</x:v>
      </x:c>
      <x:c r="F175" s="63" t="str">
        <x:v>Non</x:v>
      </x:c>
      <x:c r="G175" s="63" t="str">
        <x:v>Décaissement externe</x:v>
      </x:c>
      <x:c r="H175" s="63" t="str">
        <x:v>Expertise comptable</x:v>
      </x:c>
      <x:c r="I175" s="64" t="n">
        <x:v>0</x:v>
      </x:c>
      <x:c r="J175" s="64" t="n">
        <x:v>1440</x:v>
      </x:c>
      <x:c r="K175" s="63" t="str">
        <x:v>ReleveCompte_Pennylane__avril_2026.pdf</x:v>
      </x:c>
    </x:row>
    <x:row r="176">
      <x:c r="A176" s="74" t="n">
        <x:v>46119</x:v>
      </x:c>
      <x:c r="B176" s="63" t="str">
        <x:v>Avril</x:v>
      </x:c>
      <x:c r="C176" s="63" t="str">
        <x:v>Pennylane</x:v>
      </x:c>
      <x:c r="D176" s="63" t="str">
        <x:v>Virement</x:v>
      </x:c>
      <x:c r="E176" s="63" t="str">
        <x:v>FA2500622 DUTHOO SOC INFOR G G TIERSLIEU DU SUD TOURAINE</x:v>
      </x:c>
      <x:c r="F176" s="63" t="str">
        <x:v>Non</x:v>
      </x:c>
      <x:c r="G176" s="63" t="str">
        <x:v>Décaissement externe</x:v>
      </x:c>
      <x:c r="H176" s="63" t="str">
        <x:v>Prestations informatiques / Duthoo</x:v>
      </x:c>
      <x:c r="I176" s="64" t="n">
        <x:v>0</x:v>
      </x:c>
      <x:c r="J176" s="64" t="n">
        <x:v>1800</x:v>
      </x:c>
      <x:c r="K176" s="63" t="str">
        <x:v>ReleveCompte_Pennylane__avril_2026.pdf</x:v>
      </x:c>
    </x:row>
    <x:row r="177">
      <x:c r="A177" s="74" t="n">
        <x:v>46119</x:v>
      </x:c>
      <x:c r="B177" s="63" t="str">
        <x:v>Avril</x:v>
      </x:c>
      <x:c r="C177" s="63" t="str">
        <x:v>Pennylane</x:v>
      </x:c>
      <x:c r="D177" s="63" t="str">
        <x:v>Virement</x:v>
      </x:c>
      <x:c r="E177" s="63" t="str">
        <x:v>FA2600193 DUTHOO SOC INFOR G G TIERSLIEU DU SUD TOURAINE</x:v>
      </x:c>
      <x:c r="F177" s="63" t="str">
        <x:v>Non</x:v>
      </x:c>
      <x:c r="G177" s="63" t="str">
        <x:v>Décaissement externe</x:v>
      </x:c>
      <x:c r="H177" s="63" t="str">
        <x:v>Prestations informatiques / Duthoo</x:v>
      </x:c>
      <x:c r="I177" s="64" t="n">
        <x:v>0</x:v>
      </x:c>
      <x:c r="J177" s="64" t="n">
        <x:v>1800</x:v>
      </x:c>
      <x:c r="K177" s="63" t="str">
        <x:v>ReleveCompte_Pennylane__avril_2026.pdf</x:v>
      </x:c>
    </x:row>
    <x:row r="178">
      <x:c r="A178" s="74" t="n">
        <x:v>46119</x:v>
      </x:c>
      <x:c r="B178" s="63" t="str">
        <x:v>Avril</x:v>
      </x:c>
      <x:c r="C178" s="63" t="str">
        <x:v>Pennylane</x:v>
      </x:c>
      <x:c r="D178" s="63" t="str">
        <x:v>Virement</x:v>
      </x:c>
      <x:c r="E178" s="63" t="str">
        <x:v>Notes de frais - Corentin Paquereau (1)</x:v>
      </x:c>
      <x:c r="F178" s="63" t="str">
        <x:v>Non</x:v>
      </x:c>
      <x:c r="G178" s="63" t="str">
        <x:v>Décaissement externe</x:v>
      </x:c>
      <x:c r="H178" s="63" t="str">
        <x:v>Déplacements, hébergement et notes de frais</x:v>
      </x:c>
      <x:c r="I178" s="64" t="n">
        <x:v>0</x:v>
      </x:c>
      <x:c r="J178" s="64" t="n">
        <x:v>7.27</x:v>
      </x:c>
      <x:c r="K178" s="63" t="str">
        <x:v>ReleveCompte_Pennylane__avril_2026.pdf</x:v>
      </x:c>
    </x:row>
    <x:row r="179">
      <x:c r="A179" s="74" t="n">
        <x:v>46119</x:v>
      </x:c>
      <x:c r="B179" s="63" t="str">
        <x:v>Avril</x:v>
      </x:c>
      <x:c r="C179" s="63" t="str">
        <x:v>Pennylane</x:v>
      </x:c>
      <x:c r="D179" s="63" t="str">
        <x:v>Virement</x:v>
      </x:c>
      <x:c r="E179" s="63" t="str">
        <x:v>Transfer from ASSOC. TIERS-LIEU DU SUD TOURAINE</x:v>
      </x:c>
      <x:c r="F179" s="63" t="str">
        <x:v>Oui</x:v>
      </x:c>
      <x:c r="G179" s="63" t="str">
        <x:v>Virement interne neutralisé</x:v>
      </x:c>
      <x:c r="H179" s="63" t="str">
        <x:v>Virements internes</x:v>
      </x:c>
      <x:c r="I179" s="64" t="n">
        <x:v>5000</x:v>
      </x:c>
      <x:c r="J179" s="64" t="n">
        <x:v>0</x:v>
      </x:c>
      <x:c r="K179" s="63" t="str">
        <x:v>ReleveCompte_Pennylane__avril_2026.pdf</x:v>
      </x:c>
    </x:row>
    <x:row r="180">
      <x:c r="A180" s="74" t="n">
        <x:v>46119</x:v>
      </x:c>
      <x:c r="B180" s="63" t="str">
        <x:v>Avril</x:v>
      </x:c>
      <x:c r="C180" s="63" t="str">
        <x:v>Pennylane</x:v>
      </x:c>
      <x:c r="D180" s="63" t="str">
        <x:v>Virement</x:v>
      </x:c>
      <x:c r="E180" s="63" t="str">
        <x:v>Transfer from ASSOC. TIERS-LIEU DU SUD TOURAINE</x:v>
      </x:c>
      <x:c r="F180" s="63" t="str">
        <x:v>Oui</x:v>
      </x:c>
      <x:c r="G180" s="63" t="str">
        <x:v>Virement interne neutralisé</x:v>
      </x:c>
      <x:c r="H180" s="63" t="str">
        <x:v>Virements internes</x:v>
      </x:c>
      <x:c r="I180" s="64" t="n">
        <x:v>5000</x:v>
      </x:c>
      <x:c r="J180" s="64" t="n">
        <x:v>0</x:v>
      </x:c>
      <x:c r="K180" s="63" t="str">
        <x:v>ReleveCompte_Pennylane__avril_2026.pdf</x:v>
      </x:c>
    </x:row>
    <x:row r="181">
      <x:c r="A181" s="74" t="n">
        <x:v>46122</x:v>
      </x:c>
      <x:c r="B181" s="63" t="str">
        <x:v>Avril</x:v>
      </x:c>
      <x:c r="C181" s="63" t="str">
        <x:v>Pennylane</x:v>
      </x:c>
      <x:c r="D181" s="63" t="str">
        <x:v>Virement</x:v>
      </x:c>
      <x:c r="E181" s="63" t="str">
        <x:v>2504080 CONSTRUCTIONS METALLIQUES PIOT TIERSLIEU DU SUD</x:v>
      </x:c>
      <x:c r="F181" s="63" t="str">
        <x:v>Non</x:v>
      </x:c>
      <x:c r="G181" s="63" t="str">
        <x:v>Décaissement externe</x:v>
      </x:c>
      <x:c r="H181" s="63" t="str">
        <x:v>Travaux et investissements</x:v>
      </x:c>
      <x:c r="I181" s="64" t="n">
        <x:v>0</x:v>
      </x:c>
      <x:c r="J181" s="64" t="n">
        <x:v>2000</x:v>
      </x:c>
      <x:c r="K181" s="63" t="str">
        <x:v>ReleveCompte_Pennylane__avril_2026.pdf</x:v>
      </x:c>
    </x:row>
    <x:row r="182">
      <x:c r="A182" s="74" t="n">
        <x:v>46127</x:v>
      </x:c>
      <x:c r="B182" s="63" t="str">
        <x:v>Avril</x:v>
      </x:c>
      <x:c r="C182" s="63" t="str">
        <x:v>Crédit Agricole</x:v>
      </x:c>
      <x:c r="D182" s="63" t="str">
        <x:v>Prélèvement</x:v>
      </x:c>
      <x:c r="E182" s="63" t="str">
        <x:v>Allianz IARD</x:v>
      </x:c>
      <x:c r="F182" s="63" t="str">
        <x:v>Non</x:v>
      </x:c>
      <x:c r="G182" s="63" t="str">
        <x:v>Décaissement externe</x:v>
      </x:c>
      <x:c r="H182" s="63" t="str">
        <x:v>Assurances</x:v>
      </x:c>
      <x:c r="I182" s="64" t="n">
        <x:v>0</x:v>
      </x:c>
      <x:c r="J182" s="64" t="n">
        <x:v>99.62</x:v>
      </x:c>
      <x:c r="K182" s="63" t="str">
        <x:v>Relevé Crédit Agricole Avril 2026</x:v>
      </x:c>
    </x:row>
    <x:row r="183">
      <x:c r="A183" s="74" t="n">
        <x:v>46127</x:v>
      </x:c>
      <x:c r="B183" s="63" t="str">
        <x:v>Avril</x:v>
      </x:c>
      <x:c r="C183" s="63" t="str">
        <x:v>Crédit Agricole</x:v>
      </x:c>
      <x:c r="D183" s="63" t="str">
        <x:v>Prélèvement</x:v>
      </x:c>
      <x:c r="E183" s="63" t="str">
        <x:v>Free Pro</x:v>
      </x:c>
      <x:c r="F183" s="63" t="str">
        <x:v>Non</x:v>
      </x:c>
      <x:c r="G183" s="63" t="str">
        <x:v>Décaissement externe</x:v>
      </x:c>
      <x:c r="H183" s="63" t="str">
        <x:v>Télécommunications</x:v>
      </x:c>
      <x:c r="I183" s="64" t="n">
        <x:v>0</x:v>
      </x:c>
      <x:c r="J183" s="64" t="n">
        <x:v>83.96</x:v>
      </x:c>
      <x:c r="K183" s="63" t="str">
        <x:v>Relevé Crédit Agricole Avril 2026</x:v>
      </x:c>
    </x:row>
    <x:row r="184">
      <x:c r="A184" s="74" t="n">
        <x:v>46128</x:v>
      </x:c>
      <x:c r="B184" s="63" t="str">
        <x:v>Avril</x:v>
      </x:c>
      <x:c r="C184" s="63" t="str">
        <x:v>Crédit Agricole</x:v>
      </x:c>
      <x:c r="D184" s="63" t="str">
        <x:v>Prélèvement</x:v>
      </x:c>
      <x:c r="E184" s="63" t="str">
        <x:v>URSSAF Centre</x:v>
      </x:c>
      <x:c r="F184" s="63" t="str">
        <x:v>Non</x:v>
      </x:c>
      <x:c r="G184" s="63" t="str">
        <x:v>Décaissement externe</x:v>
      </x:c>
      <x:c r="H184" s="63" t="str">
        <x:v>Cotisations URSSAF</x:v>
      </x:c>
      <x:c r="I184" s="64" t="n">
        <x:v>0</x:v>
      </x:c>
      <x:c r="J184" s="64" t="n">
        <x:v>1372</x:v>
      </x:c>
      <x:c r="K184" s="63" t="str">
        <x:v>Relevé Crédit Agricole Avril 2026</x:v>
      </x:c>
    </x:row>
    <x:row r="185">
      <x:c r="A185" s="74" t="n">
        <x:v>46128</x:v>
      </x:c>
      <x:c r="B185" s="63" t="str">
        <x:v>Avril</x:v>
      </x:c>
      <x:c r="C185" s="63" t="str">
        <x:v>Pennylane</x:v>
      </x:c>
      <x:c r="D185" s="63" t="str">
        <x:v>Carte</x:v>
      </x:c>
      <x:c r="E185" s="63" t="str">
        <x:v>WP Umbrella - Gael Mallet **5345</x:v>
      </x:c>
      <x:c r="F185" s="63" t="str">
        <x:v>Non</x:v>
      </x:c>
      <x:c r="G185" s="63" t="str">
        <x:v>Décaissement externe</x:v>
      </x:c>
      <x:c r="H185" s="63" t="str">
        <x:v>Communication, logiciels et abonnements</x:v>
      </x:c>
      <x:c r="I185" s="64" t="n">
        <x:v>0</x:v>
      </x:c>
      <x:c r="J185" s="64" t="n">
        <x:v>7.16</x:v>
      </x:c>
      <x:c r="K185" s="63" t="str">
        <x:v>ReleveCompte_Pennylane__avril_2026.pdf</x:v>
      </x:c>
    </x:row>
    <x:row r="186">
      <x:c r="A186" s="74" t="n">
        <x:v>46129</x:v>
      </x:c>
      <x:c r="B186" s="63" t="str">
        <x:v>Avril</x:v>
      </x:c>
      <x:c r="C186" s="63" t="str">
        <x:v>Pennylane</x:v>
      </x:c>
      <x:c r="D186" s="63" t="str">
        <x:v>Carte</x:v>
      </x:c>
      <x:c r="E186" s="63" t="str">
        <x:v>Pennylane - Gael Mallet **5345</x:v>
      </x:c>
      <x:c r="F186" s="63" t="str">
        <x:v>Non</x:v>
      </x:c>
      <x:c r="G186" s="63" t="str">
        <x:v>Décaissement externe</x:v>
      </x:c>
      <x:c r="H186" s="63" t="str">
        <x:v>Communication, logiciels et abonnements</x:v>
      </x:c>
      <x:c r="I186" s="64" t="n">
        <x:v>0</x:v>
      </x:c>
      <x:c r="J186" s="64" t="n">
        <x:v>34.8</x:v>
      </x:c>
      <x:c r="K186" s="63" t="str">
        <x:v>ReleveCompte_Pennylane__avril_2026.pdf</x:v>
      </x:c>
    </x:row>
    <x:row r="187">
      <x:c r="A187" s="74" t="n">
        <x:v>46132</x:v>
      </x:c>
      <x:c r="B187" s="63" t="str">
        <x:v>Avril</x:v>
      </x:c>
      <x:c r="C187" s="63" t="str">
        <x:v>Crédit Agricole</x:v>
      </x:c>
      <x:c r="D187" s="63" t="str">
        <x:v>Prélèvement</x:v>
      </x:c>
      <x:c r="E187" s="63" t="str">
        <x:v>Electricité de France</x:v>
      </x:c>
      <x:c r="F187" s="63" t="str">
        <x:v>Non</x:v>
      </x:c>
      <x:c r="G187" s="63" t="str">
        <x:v>Décaissement externe</x:v>
      </x:c>
      <x:c r="H187" s="63" t="str">
        <x:v>Électricité</x:v>
      </x:c>
      <x:c r="I187" s="64" t="n">
        <x:v>0</x:v>
      </x:c>
      <x:c r="J187" s="64" t="n">
        <x:v>81.98</x:v>
      </x:c>
      <x:c r="K187" s="63" t="str">
        <x:v>Relevé Crédit Agricole Avril 2026</x:v>
      </x:c>
    </x:row>
    <x:row r="188">
      <x:c r="A188" s="74" t="n">
        <x:v>46133</x:v>
      </x:c>
      <x:c r="B188" s="63" t="str">
        <x:v>Avril</x:v>
      </x:c>
      <x:c r="C188" s="63" t="str">
        <x:v>Pennylane</x:v>
      </x:c>
      <x:c r="D188" s="63" t="str">
        <x:v>Virement</x:v>
      </x:c>
      <x:c r="E188" s="63" t="str">
        <x:v>FA0145882 2025001 APST37 TIERSLIEU DU SUD TOURAINE</x:v>
      </x:c>
      <x:c r="F188" s="63" t="str">
        <x:v>Non</x:v>
      </x:c>
      <x:c r="G188" s="63" t="str">
        <x:v>Décaissement externe</x:v>
      </x:c>
      <x:c r="H188" s="63" t="str">
        <x:v>Médecine du travail / frais de personnel</x:v>
      </x:c>
      <x:c r="I188" s="64" t="n">
        <x:v>0</x:v>
      </x:c>
      <x:c r="J188" s="64" t="n">
        <x:v>128.4</x:v>
      </x:c>
      <x:c r="K188" s="63" t="str">
        <x:v>ReleveCompte_Pennylane__avril_2026.pdf</x:v>
      </x:c>
    </x:row>
    <x:row r="189">
      <x:c r="A189" s="74" t="n">
        <x:v>46133</x:v>
      </x:c>
      <x:c r="B189" s="63" t="str">
        <x:v>Avril</x:v>
      </x:c>
      <x:c r="C189" s="63" t="str">
        <x:v>Pennylane</x:v>
      </x:c>
      <x:c r="D189" s="63" t="str">
        <x:v>Virement</x:v>
      </x:c>
      <x:c r="E189" s="63" t="str">
        <x:v>Notes de frais - Corentin Paquereau (1)</x:v>
      </x:c>
      <x:c r="F189" s="63" t="str">
        <x:v>Non</x:v>
      </x:c>
      <x:c r="G189" s="63" t="str">
        <x:v>Décaissement externe</x:v>
      </x:c>
      <x:c r="H189" s="63" t="str">
        <x:v>Déplacements, hébergement et notes de frais</x:v>
      </x:c>
      <x:c r="I189" s="64" t="n">
        <x:v>0</x:v>
      </x:c>
      <x:c r="J189" s="64" t="n">
        <x:v>43.63</x:v>
      </x:c>
      <x:c r="K189" s="63" t="str">
        <x:v>ReleveCompte_Pennylane__avril_2026.pdf</x:v>
      </x:c>
    </x:row>
    <x:row r="190">
      <x:c r="A190" s="74" t="n">
        <x:v>46133</x:v>
      </x:c>
      <x:c r="B190" s="63" t="str">
        <x:v>Avril</x:v>
      </x:c>
      <x:c r="C190" s="63" t="str">
        <x:v>Pennylane</x:v>
      </x:c>
      <x:c r="D190" s="63" t="str">
        <x:v>Virement</x:v>
      </x:c>
      <x:c r="E190" s="63" t="str">
        <x:v>Notes de frais - Corentin Paquereau (1)</x:v>
      </x:c>
      <x:c r="F190" s="63" t="str">
        <x:v>Non</x:v>
      </x:c>
      <x:c r="G190" s="63" t="str">
        <x:v>Décaissement externe</x:v>
      </x:c>
      <x:c r="H190" s="63" t="str">
        <x:v>Déplacements, hébergement et notes de frais</x:v>
      </x:c>
      <x:c r="I190" s="64" t="n">
        <x:v>0</x:v>
      </x:c>
      <x:c r="J190" s="64" t="n">
        <x:v>35.15</x:v>
      </x:c>
      <x:c r="K190" s="63" t="str">
        <x:v>ReleveCompte_Pennylane__avril_2026.pdf</x:v>
      </x:c>
    </x:row>
    <x:row r="191">
      <x:c r="A191" s="74" t="n">
        <x:v>46133</x:v>
      </x:c>
      <x:c r="B191" s="63" t="str">
        <x:v>Avril</x:v>
      </x:c>
      <x:c r="C191" s="63" t="str">
        <x:v>Pennylane</x:v>
      </x:c>
      <x:c r="D191" s="63" t="str">
        <x:v>Virement</x:v>
      </x:c>
      <x:c r="E191" s="63" t="str">
        <x:v>Notes de frais - Corentin Paquereau (1)</x:v>
      </x:c>
      <x:c r="F191" s="63" t="str">
        <x:v>Non</x:v>
      </x:c>
      <x:c r="G191" s="63" t="str">
        <x:v>Décaissement externe</x:v>
      </x:c>
      <x:c r="H191" s="63" t="str">
        <x:v>Déplacements, hébergement et notes de frais</x:v>
      </x:c>
      <x:c r="I191" s="64" t="n">
        <x:v>0</x:v>
      </x:c>
      <x:c r="J191" s="64" t="n">
        <x:v>43.63</x:v>
      </x:c>
      <x:c r="K191" s="63" t="str">
        <x:v>ReleveCompte_Pennylane__avril_2026.pdf</x:v>
      </x:c>
    </x:row>
    <x:row r="192">
      <x:c r="A192" s="74" t="n">
        <x:v>46133</x:v>
      </x:c>
      <x:c r="B192" s="63" t="str">
        <x:v>Avril</x:v>
      </x:c>
      <x:c r="C192" s="63" t="str">
        <x:v>Pennylane</x:v>
      </x:c>
      <x:c r="D192" s="63" t="str">
        <x:v>Carte</x:v>
      </x:c>
      <x:c r="E192" s="63" t="str">
        <x:v>Notion - Gael Mallet **5345</x:v>
      </x:c>
      <x:c r="F192" s="63" t="str">
        <x:v>Non</x:v>
      </x:c>
      <x:c r="G192" s="63" t="str">
        <x:v>Décaissement externe</x:v>
      </x:c>
      <x:c r="H192" s="63" t="str">
        <x:v>Communication, logiciels et abonnements</x:v>
      </x:c>
      <x:c r="I192" s="64" t="n">
        <x:v>0</x:v>
      </x:c>
      <x:c r="J192" s="64" t="n">
        <x:v>34.5</x:v>
      </x:c>
      <x:c r="K192" s="63" t="str">
        <x:v>ReleveCompte_Pennylane__avril_2026.pdf</x:v>
      </x:c>
    </x:row>
    <x:row r="193">
      <x:c r="A193" s="74" t="n">
        <x:v>46134</x:v>
      </x:c>
      <x:c r="B193" s="63" t="str">
        <x:v>Avril</x:v>
      </x:c>
      <x:c r="C193" s="63" t="str">
        <x:v>Pennylane</x:v>
      </x:c>
      <x:c r="D193" s="63" t="str">
        <x:v>Virement</x:v>
      </x:c>
      <x:c r="E193" s="63" t="str">
        <x:v>F202603524 O3 EXPERTISE COMPTABLE TIERSLIEU DU SUD TOURAINE</x:v>
      </x:c>
      <x:c r="F193" s="63" t="str">
        <x:v>Non</x:v>
      </x:c>
      <x:c r="G193" s="63" t="str">
        <x:v>Décaissement externe</x:v>
      </x:c>
      <x:c r="H193" s="63" t="str">
        <x:v>Expertise comptable</x:v>
      </x:c>
      <x:c r="I193" s="64" t="n">
        <x:v>0</x:v>
      </x:c>
      <x:c r="J193" s="64" t="n">
        <x:v>93.35</x:v>
      </x:c>
      <x:c r="K193" s="63" t="str">
        <x:v>ReleveCompte_Pennylane__avril_2026.pdf</x:v>
      </x:c>
    </x:row>
    <x:row r="194">
      <x:c r="A194" s="74" t="n">
        <x:v>46135</x:v>
      </x:c>
      <x:c r="B194" s="63" t="str">
        <x:v>Avril</x:v>
      </x:c>
      <x:c r="C194" s="63" t="str">
        <x:v>Crédit Agricole</x:v>
      </x:c>
      <x:c r="D194" s="63" t="str">
        <x:v>Prélèvement</x:v>
      </x:c>
      <x:c r="E194" s="63" t="str">
        <x:v>Harmonie Mutuelle</x:v>
      </x:c>
      <x:c r="F194" s="63" t="str">
        <x:v>Non</x:v>
      </x:c>
      <x:c r="G194" s="63" t="str">
        <x:v>Décaissement externe</x:v>
      </x:c>
      <x:c r="H194" s="63" t="str">
        <x:v>Mutuelle santé</x:v>
      </x:c>
      <x:c r="I194" s="64" t="n">
        <x:v>0</x:v>
      </x:c>
      <x:c r="J194" s="64" t="n">
        <x:v>595.41</x:v>
      </x:c>
      <x:c r="K194" s="63" t="str">
        <x:v>Relevé Crédit Agricole Avril 2026</x:v>
      </x:c>
    </x:row>
    <x:row r="195">
      <x:c r="A195" s="74" t="n">
        <x:v>46135</x:v>
      </x:c>
      <x:c r="B195" s="63" t="str">
        <x:v>Avril</x:v>
      </x:c>
      <x:c r="C195" s="63" t="str">
        <x:v>Crédit Agricole</x:v>
      </x:c>
      <x:c r="D195" s="63" t="str">
        <x:v>Virement interne</x:v>
      </x:c>
      <x:c r="E195" s="63" t="str">
        <x:v>Vir Inst vers Pennylane Tiers-li</x:v>
      </x:c>
      <x:c r="F195" s="63" t="str">
        <x:v>Oui</x:v>
      </x:c>
      <x:c r="G195" s="63" t="str">
        <x:v>Virement interne neutralisé</x:v>
      </x:c>
      <x:c r="H195" s="63" t="str">
        <x:v>Virements internes</x:v>
      </x:c>
      <x:c r="I195" s="64" t="n">
        <x:v>0</x:v>
      </x:c>
      <x:c r="J195" s="64" t="n">
        <x:v>10000</x:v>
      </x:c>
      <x:c r="K195" s="63" t="str">
        <x:v>Relevé Crédit Agricole Avril 2026</x:v>
      </x:c>
    </x:row>
    <x:row r="196">
      <x:c r="A196" s="74" t="n">
        <x:v>46135</x:v>
      </x:c>
      <x:c r="B196" s="63" t="str">
        <x:v>Avril</x:v>
      </x:c>
      <x:c r="C196" s="63" t="str">
        <x:v>Pennylane</x:v>
      </x:c>
      <x:c r="D196" s="63" t="str">
        <x:v>Virement</x:v>
      </x:c>
      <x:c r="E196" s="63" t="str">
        <x:v>FA0852 SARL LIOTTA TIERSLIEU DU SUD TOURAINE</x:v>
      </x:c>
      <x:c r="F196" s="63" t="str">
        <x:v>Non</x:v>
      </x:c>
      <x:c r="G196" s="63" t="str">
        <x:v>Décaissement externe</x:v>
      </x:c>
      <x:c r="H196" s="63" t="str">
        <x:v>Autres prestataires et dépenses d'actions</x:v>
      </x:c>
      <x:c r="I196" s="64" t="n">
        <x:v>0</x:v>
      </x:c>
      <x:c r="J196" s="64" t="n">
        <x:v>2000</x:v>
      </x:c>
      <x:c r="K196" s="63" t="str">
        <x:v>ReleveCompte_Pennylane__avril_2026.pdf</x:v>
      </x:c>
    </x:row>
    <x:row r="197">
      <x:c r="A197" s="74" t="n">
        <x:v>46135</x:v>
      </x:c>
      <x:c r="B197" s="63" t="str">
        <x:v>Avril</x:v>
      </x:c>
      <x:c r="C197" s="63" t="str">
        <x:v>Pennylane</x:v>
      </x:c>
      <x:c r="D197" s="63" t="str">
        <x:v>Virement</x:v>
      </x:c>
      <x:c r="E197" s="63" t="str">
        <x:v>Notes de frais - Léo Duplais (1)</x:v>
      </x:c>
      <x:c r="F197" s="63" t="str">
        <x:v>Non</x:v>
      </x:c>
      <x:c r="G197" s="63" t="str">
        <x:v>Décaissement externe</x:v>
      </x:c>
      <x:c r="H197" s="63" t="str">
        <x:v>Déplacements, hébergement et notes de frais</x:v>
      </x:c>
      <x:c r="I197" s="64" t="n">
        <x:v>0</x:v>
      </x:c>
      <x:c r="J197" s="64" t="n">
        <x:v>4.5</x:v>
      </x:c>
      <x:c r="K197" s="63" t="str">
        <x:v>ReleveCompte_Pennylane__avril_2026.pdf</x:v>
      </x:c>
    </x:row>
    <x:row r="198">
      <x:c r="A198" s="74" t="n">
        <x:v>46135</x:v>
      </x:c>
      <x:c r="B198" s="63" t="str">
        <x:v>Avril</x:v>
      </x:c>
      <x:c r="C198" s="63" t="str">
        <x:v>Pennylane</x:v>
      </x:c>
      <x:c r="D198" s="63" t="str">
        <x:v>Virement</x:v>
      </x:c>
      <x:c r="E198" s="63" t="str">
        <x:v>Notes de frais - Léo Duplais (1)</x:v>
      </x:c>
      <x:c r="F198" s="63" t="str">
        <x:v>Non</x:v>
      </x:c>
      <x:c r="G198" s="63" t="str">
        <x:v>Décaissement externe</x:v>
      </x:c>
      <x:c r="H198" s="63" t="str">
        <x:v>Déplacements, hébergement et notes de frais</x:v>
      </x:c>
      <x:c r="I198" s="64" t="n">
        <x:v>0</x:v>
      </x:c>
      <x:c r="J198" s="64" t="n">
        <x:v>4.5</x:v>
      </x:c>
      <x:c r="K198" s="63" t="str">
        <x:v>ReleveCompte_Pennylane__avril_2026.pdf</x:v>
      </x:c>
    </x:row>
    <x:row r="199">
      <x:c r="A199" s="74" t="n">
        <x:v>46135</x:v>
      </x:c>
      <x:c r="B199" s="63" t="str">
        <x:v>Avril</x:v>
      </x:c>
      <x:c r="C199" s="63" t="str">
        <x:v>Pennylane</x:v>
      </x:c>
      <x:c r="D199" s="63" t="str">
        <x:v>Virement</x:v>
      </x:c>
      <x:c r="E199" s="63" t="str">
        <x:v>solde avril +salaires + factures mai 1er tranche</x:v>
      </x:c>
      <x:c r="F199" s="63" t="str">
        <x:v>Oui</x:v>
      </x:c>
      <x:c r="G199" s="63" t="str">
        <x:v>Virement interne neutralisé</x:v>
      </x:c>
      <x:c r="H199" s="63" t="str">
        <x:v>Virements internes</x:v>
      </x:c>
      <x:c r="I199" s="64" t="n">
        <x:v>10000</x:v>
      </x:c>
      <x:c r="J199" s="64" t="n">
        <x:v>0</x:v>
      </x:c>
      <x:c r="K199" s="63" t="str">
        <x:v>ReleveCompte_Pennylane__avril_2026.pdf</x:v>
      </x:c>
    </x:row>
    <x:row r="200">
      <x:c r="A200" s="74" t="n">
        <x:v>46139</x:v>
      </x:c>
      <x:c r="B200" s="63" t="str">
        <x:v>Avril</x:v>
      </x:c>
      <x:c r="C200" s="63" t="str">
        <x:v>Crédit Agricole</x:v>
      </x:c>
      <x:c r="D200" s="63" t="str">
        <x:v>Prélèvement</x:v>
      </x:c>
      <x:c r="E200" s="63" t="str">
        <x:v>AG2R Reunica</x:v>
      </x:c>
      <x:c r="F200" s="63" t="str">
        <x:v>Non</x:v>
      </x:c>
      <x:c r="G200" s="63" t="str">
        <x:v>Décaissement externe</x:v>
      </x:c>
      <x:c r="H200" s="63" t="str">
        <x:v>Retraite et prévoyance</x:v>
      </x:c>
      <x:c r="I200" s="64" t="n">
        <x:v>0</x:v>
      </x:c>
      <x:c r="J200" s="64" t="n">
        <x:v>258.16</x:v>
      </x:c>
      <x:c r="K200" s="63" t="str">
        <x:v>Relevé Crédit Agricole Avril 2026</x:v>
      </x:c>
    </x:row>
    <x:row r="201">
      <x:c r="A201" s="74" t="n">
        <x:v>46139</x:v>
      </x:c>
      <x:c r="B201" s="63" t="str">
        <x:v>Avril</x:v>
      </x:c>
      <x:c r="C201" s="63" t="str">
        <x:v>Crédit Agricole</x:v>
      </x:c>
      <x:c r="D201" s="63" t="str">
        <x:v>Prélèvement</x:v>
      </x:c>
      <x:c r="E201" s="63" t="str">
        <x:v>Allianz Vie TEP</x:v>
      </x:c>
      <x:c r="F201" s="63" t="str">
        <x:v>Non</x:v>
      </x:c>
      <x:c r="G201" s="63" t="str">
        <x:v>Décaissement externe</x:v>
      </x:c>
      <x:c r="H201" s="63" t="str">
        <x:v>Retraite et prévoyance</x:v>
      </x:c>
      <x:c r="I201" s="64" t="n">
        <x:v>0</x:v>
      </x:c>
      <x:c r="J201" s="64" t="n">
        <x:v>185.46</x:v>
      </x:c>
      <x:c r="K201" s="63" t="str">
        <x:v>Relevé Crédit Agricole Avril 2026</x:v>
      </x:c>
    </x:row>
    <x:row r="202">
      <x:c r="A202" s="74" t="n">
        <x:v>46139</x:v>
      </x:c>
      <x:c r="B202" s="63" t="str">
        <x:v>Avril</x:v>
      </x:c>
      <x:c r="C202" s="63" t="str">
        <x:v>Crédit Agricole</x:v>
      </x:c>
      <x:c r="D202" s="63" t="str">
        <x:v>Prélèvement</x:v>
      </x:c>
      <x:c r="E202" s="63" t="str">
        <x:v>Allianz Vie TEP</x:v>
      </x:c>
      <x:c r="F202" s="63" t="str">
        <x:v>Non</x:v>
      </x:c>
      <x:c r="G202" s="63" t="str">
        <x:v>Décaissement externe</x:v>
      </x:c>
      <x:c r="H202" s="63" t="str">
        <x:v>Retraite et prévoyance</x:v>
      </x:c>
      <x:c r="I202" s="64" t="n">
        <x:v>0</x:v>
      </x:c>
      <x:c r="J202" s="64" t="n">
        <x:v>48.53</x:v>
      </x:c>
      <x:c r="K202" s="63" t="str">
        <x:v>Relevé Crédit Agricole Avril 2026</x:v>
      </x:c>
    </x:row>
    <x:row r="203">
      <x:c r="A203" s="74" t="n">
        <x:v>46141</x:v>
      </x:c>
      <x:c r="B203" s="63" t="str">
        <x:v>Avril</x:v>
      </x:c>
      <x:c r="C203" s="63" t="str">
        <x:v>Pennylane</x:v>
      </x:c>
      <x:c r="D203" s="63" t="str">
        <x:v>Virement</x:v>
      </x:c>
      <x:c r="E203" s="63" t="str">
        <x:v>100078509228359 PAQUEREAU Corentin TIERSLIEU DU SUD TOURAINE</x:v>
      </x:c>
      <x:c r="F203" s="63" t="str">
        <x:v>Non</x:v>
      </x:c>
      <x:c r="G203" s="63" t="str">
        <x:v>Décaissement externe</x:v>
      </x:c>
      <x:c r="H203" s="63" t="str">
        <x:v>Salaires nets</x:v>
      </x:c>
      <x:c r="I203" s="64" t="n">
        <x:v>0</x:v>
      </x:c>
      <x:c r="J203" s="64" t="n">
        <x:v>1814.68</x:v>
      </x:c>
      <x:c r="K203" s="63" t="str">
        <x:v>ReleveCompte_Pennylane__avril_2026.pdf</x:v>
      </x:c>
    </x:row>
    <x:row r="204">
      <x:c r="A204" s="74" t="n">
        <x:v>46141</x:v>
      </x:c>
      <x:c r="B204" s="63" t="str">
        <x:v>Avril</x:v>
      </x:c>
      <x:c r="C204" s="63" t="str">
        <x:v>Pennylane</x:v>
      </x:c>
      <x:c r="D204" s="63" t="str">
        <x:v>Virement</x:v>
      </x:c>
      <x:c r="E204" s="63" t="str">
        <x:v>199063705029168 DUPLAIS LEO TIERSLIEU DU SUD TOURAINE</x:v>
      </x:c>
      <x:c r="F204" s="63" t="str">
        <x:v>Non</x:v>
      </x:c>
      <x:c r="G204" s="63" t="str">
        <x:v>Décaissement externe</x:v>
      </x:c>
      <x:c r="H204" s="63" t="str">
        <x:v>Salaires nets</x:v>
      </x:c>
      <x:c r="I204" s="64" t="n">
        <x:v>0</x:v>
      </x:c>
      <x:c r="J204" s="64" t="n">
        <x:v>1574.16</x:v>
      </x:c>
      <x:c r="K204" s="63" t="str">
        <x:v>ReleveCompte_Pennylane__avril_2026.pdf</x:v>
      </x:c>
    </x:row>
    <x:row r="205">
      <x:c r="A205" s="74" t="n">
        <x:v>46141</x:v>
      </x:c>
      <x:c r="B205" s="63" t="str">
        <x:v>Avril</x:v>
      </x:c>
      <x:c r="C205" s="63" t="str">
        <x:v>Pennylane</x:v>
      </x:c>
      <x:c r="D205" s="63" t="str">
        <x:v>Virement</x:v>
      </x:c>
      <x:c r="E205" s="63" t="str">
        <x:v>279053726113150 DAGORN CELINE TIERSLIEU DU SUD TOURAINE</x:v>
      </x:c>
      <x:c r="F205" s="63" t="str">
        <x:v>Non</x:v>
      </x:c>
      <x:c r="G205" s="63" t="str">
        <x:v>Décaissement externe</x:v>
      </x:c>
      <x:c r="H205" s="63" t="str">
        <x:v>Salaires nets</x:v>
      </x:c>
      <x:c r="I205" s="64" t="n">
        <x:v>0</x:v>
      </x:c>
      <x:c r="J205" s="64" t="n">
        <x:v>608.62</x:v>
      </x:c>
      <x:c r="K205" s="63" t="str">
        <x:v>ReleveCompte_Pennylane__avril_2026.pdf</x:v>
      </x:c>
    </x:row>
    <x:row r="206">
      <x:c r="A206" s="74" t="n">
        <x:v>46141</x:v>
      </x:c>
      <x:c r="B206" s="63" t="str">
        <x:v>Avril</x:v>
      </x:c>
      <x:c r="C206" s="63" t="str">
        <x:v>Pennylane</x:v>
      </x:c>
      <x:c r="D206" s="63" t="str">
        <x:v>Virement</x:v>
      </x:c>
      <x:c r="E206" s="63" t="str">
        <x:v>282013726112341 BOIREAU EMMANUELLE TIERSLIEU DU SUD TOURAINE</x:v>
      </x:c>
      <x:c r="F206" s="63" t="str">
        <x:v>Non</x:v>
      </x:c>
      <x:c r="G206" s="63" t="str">
        <x:v>Décaissement externe</x:v>
      </x:c>
      <x:c r="H206" s="63" t="str">
        <x:v>Salaires nets</x:v>
      </x:c>
      <x:c r="I206" s="64" t="n">
        <x:v>0</x:v>
      </x:c>
      <x:c r="J206" s="64" t="n">
        <x:v>645.49</x:v>
      </x:c>
      <x:c r="K206" s="63" t="str">
        <x:v>ReleveCompte_Pennylane__avril_2026.pdf</x:v>
      </x:c>
    </x:row>
    <x:row r="207">
      <x:c r="A207" s="74" t="n">
        <x:v>46141</x:v>
      </x:c>
      <x:c r="B207" s="63" t="str">
        <x:v>Avril</x:v>
      </x:c>
      <x:c r="C207" s="63" t="str">
        <x:v>Pennylane</x:v>
      </x:c>
      <x:c r="D207" s="63" t="str">
        <x:v>Virement</x:v>
      </x:c>
      <x:c r="E207" s="63" t="str">
        <x:v>Notes de frais - Corentin Paquereau (1)</x:v>
      </x:c>
      <x:c r="F207" s="63" t="str">
        <x:v>Non</x:v>
      </x:c>
      <x:c r="G207" s="63" t="str">
        <x:v>Décaissement externe</x:v>
      </x:c>
      <x:c r="H207" s="63" t="str">
        <x:v>Déplacements, hébergement et notes de frais</x:v>
      </x:c>
      <x:c r="I207" s="64" t="n">
        <x:v>0</x:v>
      </x:c>
      <x:c r="J207" s="64" t="n">
        <x:v>26.06</x:v>
      </x:c>
      <x:c r="K207" s="63" t="str">
        <x:v>ReleveCompte_Pennylane__avril_2026.pdf</x:v>
      </x:c>
    </x:row>
    <x:row r="208">
      <x:c r="A208" s="74" t="n">
        <x:v>46143</x:v>
      </x:c>
      <x:c r="B208" s="63" t="str">
        <x:v>Mai</x:v>
      </x:c>
      <x:c r="C208" s="63" t="str">
        <x:v>Pennylane</x:v>
      </x:c>
      <x:c r="D208" s="63" t="str">
        <x:v>Carte</x:v>
      </x:c>
      <x:c r="E208" s="63" t="str">
        <x:v>Pennylane - Gael Mallet **5345</x:v>
      </x:c>
      <x:c r="F208" s="63" t="str">
        <x:v>Non</x:v>
      </x:c>
      <x:c r="G208" s="63" t="str">
        <x:v>Décaissement externe</x:v>
      </x:c>
      <x:c r="H208" s="63" t="str">
        <x:v>Communication, logiciels et abonnements</x:v>
      </x:c>
      <x:c r="I208" s="64" t="n">
        <x:v>0</x:v>
      </x:c>
      <x:c r="J208" s="64" t="n">
        <x:v>94.8</x:v>
      </x:c>
      <x:c r="K208" s="63" t="str">
        <x:v>ReleveCompte_Pennylane_mai_2026.pdf</x:v>
      </x:c>
    </x:row>
    <x:row r="209">
      <x:c r="A209" s="74" t="n">
        <x:v>46146</x:v>
      </x:c>
      <x:c r="B209" s="63" t="str">
        <x:v>Mai</x:v>
      </x:c>
      <x:c r="C209" s="63" t="str">
        <x:v>Pennylane</x:v>
      </x:c>
      <x:c r="D209" s="63" t="str">
        <x:v>Virement</x:v>
      </x:c>
      <x:c r="E209" s="63" t="str">
        <x:v>2504080 CONSTRUCTIONS METALLIQUES PIOT</x:v>
      </x:c>
      <x:c r="F209" s="63" t="str">
        <x:v>Non</x:v>
      </x:c>
      <x:c r="G209" s="63" t="str">
        <x:v>Décaissement externe</x:v>
      </x:c>
      <x:c r="H209" s="63" t="str">
        <x:v>Travaux et investissements</x:v>
      </x:c>
      <x:c r="I209" s="64" t="n">
        <x:v>0</x:v>
      </x:c>
      <x:c r="J209" s="64" t="n">
        <x:v>2000</x:v>
      </x:c>
      <x:c r="K209" s="63" t="str">
        <x:v>ReleveCompte_Pennylane_mai_2026.pdf</x:v>
      </x:c>
    </x:row>
    <x:row r="210">
      <x:c r="A210" s="74" t="n">
        <x:v>46146</x:v>
      </x:c>
      <x:c r="B210" s="63" t="str">
        <x:v>Mai</x:v>
      </x:c>
      <x:c r="C210" s="63" t="str">
        <x:v>Pennylane</x:v>
      </x:c>
      <x:c r="D210" s="63" t="str">
        <x:v>Virement</x:v>
      </x:c>
      <x:c r="E210" s="63" t="str">
        <x:v>BULLETIN AVRIL VANLAER</x:v>
      </x:c>
      <x:c r="F210" s="63" t="str">
        <x:v>Non</x:v>
      </x:c>
      <x:c r="G210" s="63" t="str">
        <x:v>Encaissement externe</x:v>
      </x:c>
      <x:c r="H210" s="63" t="str">
        <x:v>Remboursements et avoirs</x:v>
      </x:c>
      <x:c r="I210" s="64" t="n">
        <x:v>97.65</x:v>
      </x:c>
      <x:c r="J210" s="64" t="n">
        <x:v>0</x:v>
      </x:c>
      <x:c r="K210" s="63" t="str">
        <x:v>ReleveCompte_Pennylane_mai_2026.pdf</x:v>
      </x:c>
    </x:row>
    <x:row r="211">
      <x:c r="A211" s="74" t="n">
        <x:v>46146</x:v>
      </x:c>
      <x:c r="B211" s="63" t="str">
        <x:v>Mai</x:v>
      </x:c>
      <x:c r="C211" s="63" t="str">
        <x:v>Pennylane</x:v>
      </x:c>
      <x:c r="D211" s="63" t="str">
        <x:v>Virement</x:v>
      </x:c>
      <x:c r="E211" s="63" t="str">
        <x:v>FA2600108 DUTHOO SOC INFOR G G TIERSLIEU DU</x:v>
      </x:c>
      <x:c r="F211" s="63" t="str">
        <x:v>Non</x:v>
      </x:c>
      <x:c r="G211" s="63" t="str">
        <x:v>Décaissement externe</x:v>
      </x:c>
      <x:c r="H211" s="63" t="str">
        <x:v>Prestations informatiques / Duthoo</x:v>
      </x:c>
      <x:c r="I211" s="64" t="n">
        <x:v>0</x:v>
      </x:c>
      <x:c r="J211" s="64" t="n">
        <x:v>1800</x:v>
      </x:c>
      <x:c r="K211" s="63" t="str">
        <x:v>ReleveCompte_Pennylane_mai_2026.pdf</x:v>
      </x:c>
    </x:row>
    <x:row r="212">
      <x:c r="A212" s="74" t="n">
        <x:v>46146</x:v>
      </x:c>
      <x:c r="B212" s="63" t="str">
        <x:v>Mai</x:v>
      </x:c>
      <x:c r="C212" s="63" t="str">
        <x:v>Pennylane</x:v>
      </x:c>
      <x:c r="D212" s="63" t="str">
        <x:v>Virement</x:v>
      </x:c>
      <x:c r="E212" s="63" t="str">
        <x:v>Notes de frais - Corentin Paquereau (1)</x:v>
      </x:c>
      <x:c r="F212" s="63" t="str">
        <x:v>Non</x:v>
      </x:c>
      <x:c r="G212" s="63" t="str">
        <x:v>Décaissement externe</x:v>
      </x:c>
      <x:c r="H212" s="63" t="str">
        <x:v>Déplacements, hébergement et notes de frais</x:v>
      </x:c>
      <x:c r="I212" s="64" t="n">
        <x:v>0</x:v>
      </x:c>
      <x:c r="J212" s="64" t="n">
        <x:v>6.06</x:v>
      </x:c>
      <x:c r="K212" s="63" t="str">
        <x:v>ReleveCompte_Pennylane_mai_2026.pdf</x:v>
      </x:c>
    </x:row>
    <x:row r="213">
      <x:c r="A213" s="74" t="n">
        <x:v>46147</x:v>
      </x:c>
      <x:c r="B213" s="63" t="str">
        <x:v>Mai</x:v>
      </x:c>
      <x:c r="C213" s="63" t="str">
        <x:v>Crédit Agricole</x:v>
      </x:c>
      <x:c r="D213" s="63" t="str">
        <x:v>Prélèvement</x:v>
      </x:c>
      <x:c r="E213" s="63" t="str">
        <x:v>AXA France IARD SA</x:v>
      </x:c>
      <x:c r="F213" s="63" t="str">
        <x:v>Non</x:v>
      </x:c>
      <x:c r="G213" s="63" t="str">
        <x:v>Décaissement externe</x:v>
      </x:c>
      <x:c r="H213" s="63" t="str">
        <x:v>Assurances</x:v>
      </x:c>
      <x:c r="I213" s="64" t="n">
        <x:v>0</x:v>
      </x:c>
      <x:c r="J213" s="64" t="n">
        <x:v>192.75</x:v>
      </x:c>
      <x:c r="K213" s="63" t="str">
        <x:v>Relevé Crédit Agricole Mai 2026</x:v>
      </x:c>
    </x:row>
    <x:row r="214">
      <x:c r="A214" s="74" t="n">
        <x:v>46147</x:v>
      </x:c>
      <x:c r="B214" s="63" t="str">
        <x:v>Mai</x:v>
      </x:c>
      <x:c r="C214" s="63" t="str">
        <x:v>Crédit Agricole</x:v>
      </x:c>
      <x:c r="D214" s="63" t="str">
        <x:v>Virement interne</x:v>
      </x:c>
      <x:c r="E214" s="63" t="str">
        <x:v>Vir Inst vers Pennylane Tiers-li</x:v>
      </x:c>
      <x:c r="F214" s="63" t="str">
        <x:v>Oui</x:v>
      </x:c>
      <x:c r="G214" s="63" t="str">
        <x:v>Virement interne neutralisé</x:v>
      </x:c>
      <x:c r="H214" s="63" t="str">
        <x:v>Virements internes</x:v>
      </x:c>
      <x:c r="I214" s="64" t="n">
        <x:v>0</x:v>
      </x:c>
      <x:c r="J214" s="64" t="n">
        <x:v>2000</x:v>
      </x:c>
      <x:c r="K214" s="63" t="str">
        <x:v>Relevé Crédit Agricole Mai 2026</x:v>
      </x:c>
    </x:row>
    <x:row r="215">
      <x:c r="A215" s="74" t="n">
        <x:v>46147</x:v>
      </x:c>
      <x:c r="B215" s="63" t="str">
        <x:v>Mai</x:v>
      </x:c>
      <x:c r="C215" s="63" t="str">
        <x:v>Pennylane</x:v>
      </x:c>
      <x:c r="D215" s="63" t="str">
        <x:v>Virement</x:v>
      </x:c>
      <x:c r="E215" s="63" t="str">
        <x:v>202604285 LA CACARAVANE DE TOURS TIERSLIEU DU</x:v>
      </x:c>
      <x:c r="F215" s="63" t="str">
        <x:v>Non</x:v>
      </x:c>
      <x:c r="G215" s="63" t="str">
        <x:v>Décaissement externe</x:v>
      </x:c>
      <x:c r="H215" s="63" t="str">
        <x:v>Autres prestataires et dépenses d'actions</x:v>
      </x:c>
      <x:c r="I215" s="64" t="n">
        <x:v>0</x:v>
      </x:c>
      <x:c r="J215" s="64" t="n">
        <x:v>90</x:v>
      </x:c>
      <x:c r="K215" s="63" t="str">
        <x:v>ReleveCompte_Pennylane_mai_2026.pdf</x:v>
      </x:c>
    </x:row>
    <x:row r="216">
      <x:c r="A216" s="74" t="n">
        <x:v>46147</x:v>
      </x:c>
      <x:c r="B216" s="63" t="str">
        <x:v>Mai</x:v>
      </x:c>
      <x:c r="C216" s="63" t="str">
        <x:v>Pennylane</x:v>
      </x:c>
      <x:c r="D216" s="63" t="str">
        <x:v>Virement</x:v>
      </x:c>
      <x:c r="E216" s="63" t="str">
        <x:v>FA2500685 DUTHOO SOC INFOR G G TIERSLIEU DU</x:v>
      </x:c>
      <x:c r="F216" s="63" t="str">
        <x:v>Non</x:v>
      </x:c>
      <x:c r="G216" s="63" t="str">
        <x:v>Décaissement externe</x:v>
      </x:c>
      <x:c r="H216" s="63" t="str">
        <x:v>Prestations informatiques / Duthoo</x:v>
      </x:c>
      <x:c r="I216" s="64" t="n">
        <x:v>0</x:v>
      </x:c>
      <x:c r="J216" s="64" t="n">
        <x:v>1800</x:v>
      </x:c>
      <x:c r="K216" s="63" t="str">
        <x:v>ReleveCompte_Pennylane_mai_2026.pdf</x:v>
      </x:c>
    </x:row>
    <x:row r="217">
      <x:c r="A217" s="74" t="n">
        <x:v>46147</x:v>
      </x:c>
      <x:c r="B217" s="63" t="str">
        <x:v>Mai</x:v>
      </x:c>
      <x:c r="C217" s="63" t="str">
        <x:v>Pennylane</x:v>
      </x:c>
      <x:c r="D217" s="63" t="str">
        <x:v>Virement</x:v>
      </x:c>
      <x:c r="E217" s="63" t="str">
        <x:v>Notes de frais - Corentin Paquereau (1)</x:v>
      </x:c>
      <x:c r="F217" s="63" t="str">
        <x:v>Non</x:v>
      </x:c>
      <x:c r="G217" s="63" t="str">
        <x:v>Décaissement externe</x:v>
      </x:c>
      <x:c r="H217" s="63" t="str">
        <x:v>Déplacements, hébergement et notes de frais</x:v>
      </x:c>
      <x:c r="I217" s="64" t="n">
        <x:v>0</x:v>
      </x:c>
      <x:c r="J217" s="64" t="n">
        <x:v>41.21</x:v>
      </x:c>
      <x:c r="K217" s="63" t="str">
        <x:v>ReleveCompte_Pennylane_mai_2026.pdf</x:v>
      </x:c>
    </x:row>
    <x:row r="218">
      <x:c r="A218" s="74" t="n">
        <x:v>46147</x:v>
      </x:c>
      <x:c r="B218" s="63" t="str">
        <x:v>Mai</x:v>
      </x:c>
      <x:c r="C218" s="63" t="str">
        <x:v>Pennylane</x:v>
      </x:c>
      <x:c r="D218" s="63" t="str">
        <x:v>Virement</x:v>
      </x:c>
      <x:c r="E218" s="63" t="str">
        <x:v>Transfer from ASSOC. TIERS-LIEU DU SUD TOURAINE</x:v>
      </x:c>
      <x:c r="F218" s="63" t="str">
        <x:v>Oui</x:v>
      </x:c>
      <x:c r="G218" s="63" t="str">
        <x:v>Virement interne neutralisé</x:v>
      </x:c>
      <x:c r="H218" s="63" t="str">
        <x:v>Virements internes</x:v>
      </x:c>
      <x:c r="I218" s="64" t="n">
        <x:v>2000</x:v>
      </x:c>
      <x:c r="J218" s="64" t="n">
        <x:v>0</x:v>
      </x:c>
      <x:c r="K218" s="63" t="str">
        <x:v>ReleveCompte_Pennylane_mai_2026.pdf</x:v>
      </x:c>
    </x:row>
    <x:row r="219">
      <x:c r="A219" s="74" t="n">
        <x:v>46148</x:v>
      </x:c>
      <x:c r="B219" s="63" t="str">
        <x:v>Mai</x:v>
      </x:c>
      <x:c r="C219" s="63" t="str">
        <x:v>Pennylane</x:v>
      </x:c>
      <x:c r="D219" s="63" t="str">
        <x:v>Carte</x:v>
      </x:c>
      <x:c r="E219" s="63" t="str">
        <x:v>La Nouvelle République - Gael Mallet **5345</x:v>
      </x:c>
      <x:c r="F219" s="63" t="str">
        <x:v>Non</x:v>
      </x:c>
      <x:c r="G219" s="63" t="str">
        <x:v>Décaissement externe</x:v>
      </x:c>
      <x:c r="H219" s="63" t="str">
        <x:v>Communication, logiciels et abonnements</x:v>
      </x:c>
      <x:c r="I219" s="64" t="n">
        <x:v>0</x:v>
      </x:c>
      <x:c r="J219" s="64" t="n">
        <x:v>14.9</x:v>
      </x:c>
      <x:c r="K219" s="63" t="str">
        <x:v>ReleveCompte_Pennylane_mai_2026.pdf</x:v>
      </x:c>
    </x:row>
    <x:row r="220">
      <x:c r="A220" s="74" t="n">
        <x:v>46149</x:v>
      </x:c>
      <x:c r="B220" s="63" t="str">
        <x:v>Mai</x:v>
      </x:c>
      <x:c r="C220" s="63" t="str">
        <x:v>Pennylane</x:v>
      </x:c>
      <x:c r="D220" s="63" t="str">
        <x:v>Virement</x:v>
      </x:c>
      <x:c r="E220" s="63" t="str">
        <x:v>2026 SOUDONS FERMES TIERSLIEU DU SUD</x:v>
      </x:c>
      <x:c r="F220" s="63" t="str">
        <x:v>Non</x:v>
      </x:c>
      <x:c r="G220" s="63" t="str">
        <x:v>Décaissement externe</x:v>
      </x:c>
      <x:c r="H220" s="63" t="str">
        <x:v>Autres prestataires et dépenses d'actions</x:v>
      </x:c>
      <x:c r="I220" s="64" t="n">
        <x:v>0</x:v>
      </x:c>
      <x:c r="J220" s="64" t="n">
        <x:v>100</x:v>
      </x:c>
      <x:c r="K220" s="63" t="str">
        <x:v>ReleveCompte_Pennylane_mai_2026.pdf</x:v>
      </x:c>
    </x:row>
    <x:row r="221">
      <x:c r="A221" s="74" t="n">
        <x:v>46153</x:v>
      </x:c>
      <x:c r="B221" s="63" t="str">
        <x:v>Mai</x:v>
      </x:c>
      <x:c r="C221" s="63" t="str">
        <x:v>Pennylane</x:v>
      </x:c>
      <x:c r="D221" s="63" t="str">
        <x:v>Virement</x:v>
      </x:c>
      <x:c r="E221" s="63" t="str">
        <x:v>FETE FERMENTEUR 09.2026</x:v>
      </x:c>
      <x:c r="F221" s="63" t="str">
        <x:v>Non</x:v>
      </x:c>
      <x:c r="G221" s="63" t="str">
        <x:v>Encaissement externe</x:v>
      </x:c>
      <x:c r="H221" s="63" t="str">
        <x:v>Prestations, ventes et produits d'activité</x:v>
      </x:c>
      <x:c r="I221" s="64" t="n">
        <x:v>25</x:v>
      </x:c>
      <x:c r="J221" s="64" t="n">
        <x:v>0</x:v>
      </x:c>
      <x:c r="K221" s="63" t="str">
        <x:v>ReleveCompte_Pennylane_mai_2026.pdf</x:v>
      </x:c>
    </x:row>
    <x:row r="222">
      <x:c r="A222" s="74" t="n">
        <x:v>46154</x:v>
      </x:c>
      <x:c r="B222" s="63" t="str">
        <x:v>Mai</x:v>
      </x:c>
      <x:c r="C222" s="63" t="str">
        <x:v>Crédit Agricole</x:v>
      </x:c>
      <x:c r="D222" s="63" t="str">
        <x:v>Avoir carte</x:v>
      </x:c>
      <x:c r="E222" s="63" t="str">
        <x:v>Amazon Prime</x:v>
      </x:c>
      <x:c r="F222" s="63" t="str">
        <x:v>Non</x:v>
      </x:c>
      <x:c r="G222" s="63" t="str">
        <x:v>Encaissement externe</x:v>
      </x:c>
      <x:c r="H222" s="63" t="str">
        <x:v>Remboursements et avoirs</x:v>
      </x:c>
      <x:c r="I222" s="64" t="n">
        <x:v>83.34</x:v>
      </x:c>
      <x:c r="J222" s="64" t="n">
        <x:v>0</x:v>
      </x:c>
      <x:c r="K222" s="63" t="str">
        <x:v>Relevé Crédit Agricole Mai 2026</x:v>
      </x:c>
    </x:row>
    <x:row r="223">
      <x:c r="A223" s="74" t="n">
        <x:v>46154</x:v>
      </x:c>
      <x:c r="B223" s="63" t="str">
        <x:v>Mai</x:v>
      </x:c>
      <x:c r="C223" s="63" t="str">
        <x:v>Pennylane</x:v>
      </x:c>
      <x:c r="D223" s="63" t="str">
        <x:v>Carte</x:v>
      </x:c>
      <x:c r="E223" s="63" t="str">
        <x:v>Amazon Prime - Gael Mallet **5345</x:v>
      </x:c>
      <x:c r="F223" s="63" t="str">
        <x:v>Non</x:v>
      </x:c>
      <x:c r="G223" s="63" t="str">
        <x:v>Décaissement externe</x:v>
      </x:c>
      <x:c r="H223" s="63" t="str">
        <x:v>Achats, fournitures, restauration et événementiel</x:v>
      </x:c>
      <x:c r="I223" s="64" t="n">
        <x:v>0</x:v>
      </x:c>
      <x:c r="J223" s="64" t="n">
        <x:v>82.8</x:v>
      </x:c>
      <x:c r="K223" s="63" t="str">
        <x:v>ReleveCompte_Pennylane_mai_2026.pdf</x:v>
      </x:c>
    </x:row>
    <x:row r="224">
      <x:c r="A224" s="74" t="n">
        <x:v>46154</x:v>
      </x:c>
      <x:c r="B224" s="63" t="str">
        <x:v>Mai</x:v>
      </x:c>
      <x:c r="C224" s="63" t="str">
        <x:v>Pennylane</x:v>
      </x:c>
      <x:c r="D224" s="63" t="str">
        <x:v>Virement</x:v>
      </x:c>
      <x:c r="E224" s="63" t="str">
        <x:v>F202605600 O3 EXPERTISE COMPTABLE TIERSLIEU DU</x:v>
      </x:c>
      <x:c r="F224" s="63" t="str">
        <x:v>Non</x:v>
      </x:c>
      <x:c r="G224" s="63" t="str">
        <x:v>Décaissement externe</x:v>
      </x:c>
      <x:c r="H224" s="63" t="str">
        <x:v>Expertise comptable</x:v>
      </x:c>
      <x:c r="I224" s="64" t="n">
        <x:v>0</x:v>
      </x:c>
      <x:c r="J224" s="64" t="n">
        <x:v>139.2</x:v>
      </x:c>
      <x:c r="K224" s="63" t="str">
        <x:v>ReleveCompte_Pennylane_mai_2026.pdf</x:v>
      </x:c>
    </x:row>
    <x:row r="225">
      <x:c r="A225" s="74" t="n">
        <x:v>46155</x:v>
      </x:c>
      <x:c r="B225" s="63" t="str">
        <x:v>Mai</x:v>
      </x:c>
      <x:c r="C225" s="63" t="str">
        <x:v>Crédit Agricole</x:v>
      </x:c>
      <x:c r="D225" s="63" t="str">
        <x:v>Prélèvement</x:v>
      </x:c>
      <x:c r="E225" s="63" t="str">
        <x:v>Free Pro</x:v>
      </x:c>
      <x:c r="F225" s="63" t="str">
        <x:v>Non</x:v>
      </x:c>
      <x:c r="G225" s="63" t="str">
        <x:v>Décaissement externe</x:v>
      </x:c>
      <x:c r="H225" s="63" t="str">
        <x:v>Télécommunications</x:v>
      </x:c>
      <x:c r="I225" s="64" t="n">
        <x:v>0</x:v>
      </x:c>
      <x:c r="J225" s="64" t="n">
        <x:v>83.96</x:v>
      </x:c>
      <x:c r="K225" s="63" t="str">
        <x:v>Relevé Crédit Agricole Mai 2026</x:v>
      </x:c>
    </x:row>
    <x:row r="226">
      <x:c r="A226" s="74" t="n">
        <x:v>46155</x:v>
      </x:c>
      <x:c r="B226" s="63" t="str">
        <x:v>Mai</x:v>
      </x:c>
      <x:c r="C226" s="63" t="str">
        <x:v>Pennylane</x:v>
      </x:c>
      <x:c r="D226" s="63" t="str">
        <x:v>Virement</x:v>
      </x:c>
      <x:c r="E226" s="63" t="str">
        <x:v>Notes de frais - Clementine VANLAER (1)</x:v>
      </x:c>
      <x:c r="F226" s="63" t="str">
        <x:v>Non</x:v>
      </x:c>
      <x:c r="G226" s="63" t="str">
        <x:v>Décaissement externe</x:v>
      </x:c>
      <x:c r="H226" s="63" t="str">
        <x:v>Déplacements, hébergement et notes de frais</x:v>
      </x:c>
      <x:c r="I226" s="64" t="n">
        <x:v>0</x:v>
      </x:c>
      <x:c r="J226" s="64" t="n">
        <x:v>41.9</x:v>
      </x:c>
      <x:c r="K226" s="63" t="str">
        <x:v>ReleveCompte_Pennylane_mai_2026.pdf</x:v>
      </x:c>
    </x:row>
    <x:row r="227">
      <x:c r="A227" s="74" t="n">
        <x:v>46157</x:v>
      </x:c>
      <x:c r="B227" s="63" t="str">
        <x:v>Mai</x:v>
      </x:c>
      <x:c r="C227" s="63" t="str">
        <x:v>Crédit Agricole</x:v>
      </x:c>
      <x:c r="D227" s="63" t="str">
        <x:v>Prélèvement</x:v>
      </x:c>
      <x:c r="E227" s="63" t="str">
        <x:v>Allianz IARD</x:v>
      </x:c>
      <x:c r="F227" s="63" t="str">
        <x:v>Non</x:v>
      </x:c>
      <x:c r="G227" s="63" t="str">
        <x:v>Décaissement externe</x:v>
      </x:c>
      <x:c r="H227" s="63" t="str">
        <x:v>Assurances</x:v>
      </x:c>
      <x:c r="I227" s="64" t="n">
        <x:v>0</x:v>
      </x:c>
      <x:c r="J227" s="64" t="n">
        <x:v>99.62</x:v>
      </x:c>
      <x:c r="K227" s="63" t="str">
        <x:v>Relevé Crédit Agricole Mai 2026</x:v>
      </x:c>
    </x:row>
    <x:row r="228">
      <x:c r="A228" s="74" t="n">
        <x:v>46158</x:v>
      </x:c>
      <x:c r="B228" s="63" t="str">
        <x:v>Mai</x:v>
      </x:c>
      <x:c r="C228" s="63" t="str">
        <x:v>Pennylane</x:v>
      </x:c>
      <x:c r="D228" s="63" t="str">
        <x:v>Carte</x:v>
      </x:c>
      <x:c r="E228" s="63" t="str">
        <x:v>WP Umbrella - Gael Mallet **5345</x:v>
      </x:c>
      <x:c r="F228" s="63" t="str">
        <x:v>Non</x:v>
      </x:c>
      <x:c r="G228" s="63" t="str">
        <x:v>Décaissement externe</x:v>
      </x:c>
      <x:c r="H228" s="63" t="str">
        <x:v>Communication, logiciels et abonnements</x:v>
      </x:c>
      <x:c r="I228" s="64" t="n">
        <x:v>0</x:v>
      </x:c>
      <x:c r="J228" s="64" t="n">
        <x:v>7.16</x:v>
      </x:c>
      <x:c r="K228" s="63" t="str">
        <x:v>ReleveCompte_Pennylane_mai_2026.pdf</x:v>
      </x:c>
    </x:row>
    <x:row r="229">
      <x:c r="A229" s="74" t="n">
        <x:v>46159</x:v>
      </x:c>
      <x:c r="B229" s="63" t="str">
        <x:v>Mai</x:v>
      </x:c>
      <x:c r="C229" s="63" t="str">
        <x:v>Pennylane</x:v>
      </x:c>
      <x:c r="D229" s="63" t="str">
        <x:v>Carte</x:v>
      </x:c>
      <x:c r="E229" s="63" t="str">
        <x:v>Pennylane - Gael Mallet **5345</x:v>
      </x:c>
      <x:c r="F229" s="63" t="str">
        <x:v>Non</x:v>
      </x:c>
      <x:c r="G229" s="63" t="str">
        <x:v>Décaissement externe</x:v>
      </x:c>
      <x:c r="H229" s="63" t="str">
        <x:v>Communication, logiciels et abonnements</x:v>
      </x:c>
      <x:c r="I229" s="64" t="n">
        <x:v>0</x:v>
      </x:c>
      <x:c r="J229" s="64" t="n">
        <x:v>34.8</x:v>
      </x:c>
      <x:c r="K229" s="63" t="str">
        <x:v>ReleveCompte_Pennylane_mai_2026.pdf</x:v>
      </x:c>
    </x:row>
    <x:row r="230">
      <x:c r="A230" s="74" t="n">
        <x:v>46160</x:v>
      </x:c>
      <x:c r="B230" s="63" t="str">
        <x:v>Mai</x:v>
      </x:c>
      <x:c r="C230" s="63" t="str">
        <x:v>Crédit Agricole</x:v>
      </x:c>
      <x:c r="D230" s="63" t="str">
        <x:v>Prélèvement</x:v>
      </x:c>
      <x:c r="E230" s="63" t="str">
        <x:v>URSSAF Centre</x:v>
      </x:c>
      <x:c r="F230" s="63" t="str">
        <x:v>Non</x:v>
      </x:c>
      <x:c r="G230" s="63" t="str">
        <x:v>Décaissement externe</x:v>
      </x:c>
      <x:c r="H230" s="63" t="str">
        <x:v>Cotisations URSSAF</x:v>
      </x:c>
      <x:c r="I230" s="64" t="n">
        <x:v>0</x:v>
      </x:c>
      <x:c r="J230" s="64" t="n">
        <x:v>2078</x:v>
      </x:c>
      <x:c r="K230" s="63" t="str">
        <x:v>Relevé Crédit Agricole Mai 2026</x:v>
      </x:c>
    </x:row>
    <x:row r="231">
      <x:c r="A231" s="74" t="n">
        <x:v>46161</x:v>
      </x:c>
      <x:c r="B231" s="63" t="str">
        <x:v>Mai</x:v>
      </x:c>
      <x:c r="C231" s="63" t="str">
        <x:v>Crédit Agricole</x:v>
      </x:c>
      <x:c r="D231" s="63" t="str">
        <x:v>Prélèvement</x:v>
      </x:c>
      <x:c r="E231" s="63" t="str">
        <x:v>Electricité de France</x:v>
      </x:c>
      <x:c r="F231" s="63" t="str">
        <x:v>Non</x:v>
      </x:c>
      <x:c r="G231" s="63" t="str">
        <x:v>Décaissement externe</x:v>
      </x:c>
      <x:c r="H231" s="63" t="str">
        <x:v>Électricité</x:v>
      </x:c>
      <x:c r="I231" s="64" t="n">
        <x:v>0</x:v>
      </x:c>
      <x:c r="J231" s="64" t="n">
        <x:v>51.49</x:v>
      </x:c>
      <x:c r="K231" s="63" t="str">
        <x:v>Relevé Crédit Agricole Mai 2026</x:v>
      </x:c>
    </x:row>
    <x:row r="232">
      <x:c r="A232" s="74" t="n">
        <x:v>46163</x:v>
      </x:c>
      <x:c r="B232" s="63" t="str">
        <x:v>Mai</x:v>
      </x:c>
      <x:c r="C232" s="63" t="str">
        <x:v>Crédit Agricole</x:v>
      </x:c>
      <x:c r="D232" s="63" t="str">
        <x:v>Intérêts</x:v>
      </x:c>
      <x:c r="E232" s="63" t="str">
        <x:v>PS Loches</x:v>
      </x:c>
      <x:c r="F232" s="63" t="str">
        <x:v>Non</x:v>
      </x:c>
      <x:c r="G232" s="63" t="str">
        <x:v>Encaissement externe</x:v>
      </x:c>
      <x:c r="H232" s="63" t="str">
        <x:v>Autres encaissements / apports</x:v>
      </x:c>
      <x:c r="I232" s="64" t="n">
        <x:v>1.35</x:v>
      </x:c>
      <x:c r="J232" s="64" t="n">
        <x:v>0</x:v>
      </x:c>
      <x:c r="K232" s="63" t="str">
        <x:v>Relevé Crédit Agricole Mai 2026</x:v>
      </x:c>
    </x:row>
    <x:row r="233">
      <x:c r="A233" s="74" t="n">
        <x:v>46163</x:v>
      </x:c>
      <x:c r="B233" s="63" t="str">
        <x:v>Mai</x:v>
      </x:c>
      <x:c r="C233" s="63" t="str">
        <x:v>Crédit Agricole</x:v>
      </x:c>
      <x:c r="D233" s="63" t="str">
        <x:v>Virement interne</x:v>
      </x:c>
      <x:c r="E233" s="63" t="str">
        <x:v>Vir Inst vers Pennylane Tiers-li</x:v>
      </x:c>
      <x:c r="F233" s="63" t="str">
        <x:v>Oui</x:v>
      </x:c>
      <x:c r="G233" s="63" t="str">
        <x:v>Virement interne neutralisé</x:v>
      </x:c>
      <x:c r="H233" s="63" t="str">
        <x:v>Virements internes</x:v>
      </x:c>
      <x:c r="I233" s="64" t="n">
        <x:v>0</x:v>
      </x:c>
      <x:c r="J233" s="64" t="n">
        <x:v>2000</x:v>
      </x:c>
      <x:c r="K233" s="63" t="str">
        <x:v>Relevé Crédit Agricole Mai 2026</x:v>
      </x:c>
    </x:row>
    <x:row r="234">
      <x:c r="A234" s="74" t="n">
        <x:v>46163</x:v>
      </x:c>
      <x:c r="B234" s="63" t="str">
        <x:v>Mai</x:v>
      </x:c>
      <x:c r="C234" s="63" t="str">
        <x:v>Pennylane</x:v>
      </x:c>
      <x:c r="D234" s="63" t="str">
        <x:v>Carte</x:v>
      </x:c>
      <x:c r="E234" s="63" t="str">
        <x:v>Notion - Gael Mallet **5345</x:v>
      </x:c>
      <x:c r="F234" s="63" t="str">
        <x:v>Non</x:v>
      </x:c>
      <x:c r="G234" s="63" t="str">
        <x:v>Décaissement externe</x:v>
      </x:c>
      <x:c r="H234" s="63" t="str">
        <x:v>Communication, logiciels et abonnements</x:v>
      </x:c>
      <x:c r="I234" s="64" t="n">
        <x:v>0</x:v>
      </x:c>
      <x:c r="J234" s="64" t="n">
        <x:v>34.5</x:v>
      </x:c>
      <x:c r="K234" s="63" t="str">
        <x:v>ReleveCompte_Pennylane_mai_2026.pdf</x:v>
      </x:c>
    </x:row>
    <x:row r="235">
      <x:c r="A235" s="74" t="n">
        <x:v>46163</x:v>
      </x:c>
      <x:c r="B235" s="63" t="str">
        <x:v>Mai</x:v>
      </x:c>
      <x:c r="C235" s="63" t="str">
        <x:v>Pennylane</x:v>
      </x:c>
      <x:c r="D235" s="63" t="str">
        <x:v>Virement</x:v>
      </x:c>
      <x:c r="E235" s="63" t="str">
        <x:v>Transfer from ASSOC. TIERS-LIEU DU SUD TOURAINE</x:v>
      </x:c>
      <x:c r="F235" s="63" t="str">
        <x:v>Oui</x:v>
      </x:c>
      <x:c r="G235" s="63" t="str">
        <x:v>Virement interne neutralisé</x:v>
      </x:c>
      <x:c r="H235" s="63" t="str">
        <x:v>Virements internes</x:v>
      </x:c>
      <x:c r="I235" s="64" t="n">
        <x:v>2000</x:v>
      </x:c>
      <x:c r="J235" s="64" t="n">
        <x:v>0</x:v>
      </x:c>
      <x:c r="K235" s="63" t="str">
        <x:v>ReleveCompte_Pennylane_mai_2026.pdf</x:v>
      </x:c>
    </x:row>
    <x:row r="236">
      <x:c r="A236" s="74" t="n">
        <x:v>46164</x:v>
      </x:c>
      <x:c r="B236" s="63" t="str">
        <x:v>Mai</x:v>
      </x:c>
      <x:c r="C236" s="63" t="str">
        <x:v>Crédit Agricole</x:v>
      </x:c>
      <x:c r="D236" s="63" t="str">
        <x:v>Prélèvement</x:v>
      </x:c>
      <x:c r="E236" s="63" t="str">
        <x:v>Harmonie Mutuelle</x:v>
      </x:c>
      <x:c r="F236" s="63" t="str">
        <x:v>Non</x:v>
      </x:c>
      <x:c r="G236" s="63" t="str">
        <x:v>Décaissement externe</x:v>
      </x:c>
      <x:c r="H236" s="63" t="str">
        <x:v>Mutuelle santé</x:v>
      </x:c>
      <x:c r="I236" s="64" t="n">
        <x:v>0</x:v>
      </x:c>
      <x:c r="J236" s="64" t="n">
        <x:v>595.41</x:v>
      </x:c>
      <x:c r="K236" s="63" t="str">
        <x:v>Relevé Crédit Agricole Mai 2026</x:v>
      </x:c>
    </x:row>
    <x:row r="237">
      <x:c r="A237" s="74" t="n">
        <x:v>46164</x:v>
      </x:c>
      <x:c r="B237" s="63" t="str">
        <x:v>Mai</x:v>
      </x:c>
      <x:c r="C237" s="63" t="str">
        <x:v>Crédit Agricole</x:v>
      </x:c>
      <x:c r="D237" s="63" t="str">
        <x:v>Souscription</x:v>
      </x:c>
      <x:c r="E237" s="63" t="str">
        <x:v>PS Loches</x:v>
      </x:c>
      <x:c r="F237" s="63" t="str">
        <x:v>Non</x:v>
      </x:c>
      <x:c r="G237" s="63" t="str">
        <x:v>Décaissement externe</x:v>
      </x:c>
      <x:c r="H237" s="63" t="str">
        <x:v>Frais bancaires et divers</x:v>
      </x:c>
      <x:c r="I237" s="64" t="n">
        <x:v>0</x:v>
      </x:c>
      <x:c r="J237" s="64" t="n">
        <x:v>1</x:v>
      </x:c>
      <x:c r="K237" s="63" t="str">
        <x:v>Relevé Crédit Agricole Mai 2026</x:v>
      </x:c>
    </x:row>
    <x:row r="238">
      <x:c r="A238" s="74" t="n">
        <x:v>46164</x:v>
      </x:c>
      <x:c r="B238" s="63" t="str">
        <x:v>Mai</x:v>
      </x:c>
      <x:c r="C238" s="63" t="str">
        <x:v>Pennylane</x:v>
      </x:c>
      <x:c r="D238" s="63" t="str">
        <x:v>Virement</x:v>
      </x:c>
      <x:c r="E238" s="63" t="str">
        <x:v>Notes de frais - Corentin Paquereau (1)</x:v>
      </x:c>
      <x:c r="F238" s="63" t="str">
        <x:v>Non</x:v>
      </x:c>
      <x:c r="G238" s="63" t="str">
        <x:v>Décaissement externe</x:v>
      </x:c>
      <x:c r="H238" s="63" t="str">
        <x:v>Déplacements, hébergement et notes de frais</x:v>
      </x:c>
      <x:c r="I238" s="64" t="n">
        <x:v>0</x:v>
      </x:c>
      <x:c r="J238" s="64" t="n">
        <x:v>41.81</x:v>
      </x:c>
      <x:c r="K238" s="63" t="str">
        <x:v>ReleveCompte_Pennylane_mai_2026.pdf</x:v>
      </x:c>
    </x:row>
    <x:row r="239">
      <x:c r="A239" s="74" t="n">
        <x:v>46167</x:v>
      </x:c>
      <x:c r="B239" s="63" t="str">
        <x:v>Mai</x:v>
      </x:c>
      <x:c r="C239" s="63" t="str">
        <x:v>Pennylane</x:v>
      </x:c>
      <x:c r="D239" s="63" t="str">
        <x:v>Virement</x:v>
      </x:c>
      <x:c r="E239" s="63" t="str">
        <x:v>EXPERT MALLET GAEL-TIERS LIEU SUD TOURAINE-</x:v>
      </x:c>
      <x:c r="F239" s="63" t="str">
        <x:v>Non</x:v>
      </x:c>
      <x:c r="G239" s="63" t="str">
        <x:v>Encaissement externe</x:v>
      </x:c>
      <x:c r="H239" s="63" t="str">
        <x:v>Remboursements et avoirs</x:v>
      </x:c>
      <x:c r="I239" s="64" t="n">
        <x:v>39.15</x:v>
      </x:c>
      <x:c r="J239" s="64" t="n">
        <x:v>0</x:v>
      </x:c>
      <x:c r="K239" s="63" t="str">
        <x:v>ReleveCompte_Pennylane_mai_2026.pdf</x:v>
      </x:c>
    </x:row>
    <x:row r="240">
      <x:c r="A240" s="74" t="n">
        <x:v>46167</x:v>
      </x:c>
      <x:c r="B240" s="63" t="str">
        <x:v>Mai</x:v>
      </x:c>
      <x:c r="C240" s="63" t="str">
        <x:v>Pennylane</x:v>
      </x:c>
      <x:c r="D240" s="63" t="str">
        <x:v>Virement</x:v>
      </x:c>
      <x:c r="E240" s="63" t="str">
        <x:v>FA0852 SARL LIOTTA TIERSLIEU DU SUD TOURAINE</x:v>
      </x:c>
      <x:c r="F240" s="63" t="str">
        <x:v>Non</x:v>
      </x:c>
      <x:c r="G240" s="63" t="str">
        <x:v>Décaissement externe</x:v>
      </x:c>
      <x:c r="H240" s="63" t="str">
        <x:v>Autres prestataires et dépenses d'actions</x:v>
      </x:c>
      <x:c r="I240" s="64" t="n">
        <x:v>0</x:v>
      </x:c>
      <x:c r="J240" s="64" t="n">
        <x:v>2000</x:v>
      </x:c>
      <x:c r="K240" s="63" t="str">
        <x:v>ReleveCompte_Pennylane_mai_2026.pdf</x:v>
      </x:c>
    </x:row>
    <x:row r="241">
      <x:c r="A241" s="74" t="n">
        <x:v>46168</x:v>
      </x:c>
      <x:c r="B241" s="63" t="str">
        <x:v>Mai</x:v>
      </x:c>
      <x:c r="C241" s="63" t="str">
        <x:v>Pennylane</x:v>
      </x:c>
      <x:c r="D241" s="63" t="str">
        <x:v>Virement</x:v>
      </x:c>
      <x:c r="E241" s="63" t="str">
        <x:v>C20260000121 TOURS VAL DE LOIRE TOURISME</x:v>
      </x:c>
      <x:c r="F241" s="63" t="str">
        <x:v>Non</x:v>
      </x:c>
      <x:c r="G241" s="63" t="str">
        <x:v>Décaissement externe</x:v>
      </x:c>
      <x:c r="H241" s="63" t="str">
        <x:v>Autres prestataires et dépenses d'actions</x:v>
      </x:c>
      <x:c r="I241" s="64" t="n">
        <x:v>0</x:v>
      </x:c>
      <x:c r="J241" s="64" t="n">
        <x:v>129.15</x:v>
      </x:c>
      <x:c r="K241" s="63" t="str">
        <x:v>ReleveCompte_Pennylane_mai_2026.pdf</x:v>
      </x:c>
    </x:row>
    <x:row r="242">
      <x:c r="A242" s="74" t="n">
        <x:v>46170</x:v>
      </x:c>
      <x:c r="B242" s="63" t="str">
        <x:v>Mai</x:v>
      </x:c>
      <x:c r="C242" s="63" t="str">
        <x:v>Crédit Agricole</x:v>
      </x:c>
      <x:c r="D242" s="63" t="str">
        <x:v>Prélèvement</x:v>
      </x:c>
      <x:c r="E242" s="63" t="str">
        <x:v>AG2R Reunica</x:v>
      </x:c>
      <x:c r="F242" s="63" t="str">
        <x:v>Non</x:v>
      </x:c>
      <x:c r="G242" s="63" t="str">
        <x:v>Décaissement externe</x:v>
      </x:c>
      <x:c r="H242" s="63" t="str">
        <x:v>Retraite et prévoyance</x:v>
      </x:c>
      <x:c r="I242" s="64" t="n">
        <x:v>0</x:v>
      </x:c>
      <x:c r="J242" s="64" t="n">
        <x:v>392.43</x:v>
      </x:c>
      <x:c r="K242" s="63" t="str">
        <x:v>Relevé Crédit Agricole Mai 2026</x:v>
      </x:c>
    </x:row>
    <x:row r="243">
      <x:c r="A243" s="74" t="n">
        <x:v>46170</x:v>
      </x:c>
      <x:c r="B243" s="63" t="str">
        <x:v>Mai</x:v>
      </x:c>
      <x:c r="C243" s="63" t="str">
        <x:v>Crédit Agricole</x:v>
      </x:c>
      <x:c r="D243" s="63" t="str">
        <x:v>Virement interne</x:v>
      </x:c>
      <x:c r="E243" s="63" t="str">
        <x:v>Vir Inst vers Pennylane Tiers-li</x:v>
      </x:c>
      <x:c r="F243" s="63" t="str">
        <x:v>Oui</x:v>
      </x:c>
      <x:c r="G243" s="63" t="str">
        <x:v>Virement interne neutralisé</x:v>
      </x:c>
      <x:c r="H243" s="63" t="str">
        <x:v>Virements internes</x:v>
      </x:c>
      <x:c r="I243" s="64" t="n">
        <x:v>0</x:v>
      </x:c>
      <x:c r="J243" s="64" t="n">
        <x:v>10000</x:v>
      </x:c>
      <x:c r="K243" s="63" t="str">
        <x:v>Relevé Crédit Agricole Mai 2026</x:v>
      </x:c>
    </x:row>
    <x:row r="244">
      <x:c r="A244" s="74" t="n">
        <x:v>46170</x:v>
      </x:c>
      <x:c r="B244" s="63" t="str">
        <x:v>Mai</x:v>
      </x:c>
      <x:c r="C244" s="63" t="str">
        <x:v>Pennylane</x:v>
      </x:c>
      <x:c r="D244" s="63" t="str">
        <x:v>Virement</x:v>
      </x:c>
      <x:c r="E244" s="63" t="str">
        <x:v>F2600018 CLARA CLEMENT TIERSLIEU DU SUD</x:v>
      </x:c>
      <x:c r="F244" s="63" t="str">
        <x:v>Non</x:v>
      </x:c>
      <x:c r="G244" s="63" t="str">
        <x:v>Décaissement externe</x:v>
      </x:c>
      <x:c r="H244" s="63" t="str">
        <x:v>Autres prestataires et dépenses d'actions</x:v>
      </x:c>
      <x:c r="I244" s="64" t="n">
        <x:v>0</x:v>
      </x:c>
      <x:c r="J244" s="64" t="n">
        <x:v>420</x:v>
      </x:c>
      <x:c r="K244" s="63" t="str">
        <x:v>ReleveCompte_Pennylane_mai_2026.pdf</x:v>
      </x:c>
    </x:row>
    <x:row r="245">
      <x:c r="A245" s="74" t="n">
        <x:v>46170</x:v>
      </x:c>
      <x:c r="B245" s="63" t="str">
        <x:v>Mai</x:v>
      </x:c>
      <x:c r="C245" s="63" t="str">
        <x:v>Pennylane</x:v>
      </x:c>
      <x:c r="D245" s="63" t="str">
        <x:v>Virement</x:v>
      </x:c>
      <x:c r="E245" s="63" t="str">
        <x:v>Transfer from ASSOC. TIERS-LIEU DU SUD TOURAINE</x:v>
      </x:c>
      <x:c r="F245" s="63" t="str">
        <x:v>Oui</x:v>
      </x:c>
      <x:c r="G245" s="63" t="str">
        <x:v>Virement interne neutralisé</x:v>
      </x:c>
      <x:c r="H245" s="63" t="str">
        <x:v>Virements internes</x:v>
      </x:c>
      <x:c r="I245" s="64" t="n">
        <x:v>10000</x:v>
      </x:c>
      <x:c r="J245" s="64" t="n">
        <x:v>0</x:v>
      </x:c>
      <x:c r="K245" s="63" t="str">
        <x:v>ReleveCompte_Pennylane_mai_2026.pdf</x:v>
      </x:c>
    </x:row>
    <x:row r="246">
      <x:c r="A246" s="74" t="n">
        <x:v>46171</x:v>
      </x:c>
      <x:c r="B246" s="63" t="str">
        <x:v>Mai</x:v>
      </x:c>
      <x:c r="C246" s="63" t="str">
        <x:v>Pennylane</x:v>
      </x:c>
      <x:c r="D246" s="63" t="str">
        <x:v>Carte</x:v>
      </x:c>
      <x:c r="E246" s="63" t="str">
        <x:v>PANIER ANGELIQUE - Clémentine Vanlaer **5012</x:v>
      </x:c>
      <x:c r="F246" s="63" t="str">
        <x:v>Non</x:v>
      </x:c>
      <x:c r="G246" s="63" t="str">
        <x:v>Décaissement externe</x:v>
      </x:c>
      <x:c r="H246" s="63" t="str">
        <x:v>Achats, fournitures, restauration et événementiel</x:v>
      </x:c>
      <x:c r="I246" s="64" t="n">
        <x:v>0</x:v>
      </x:c>
      <x:c r="J246" s="64" t="n">
        <x:v>8.76</x:v>
      </x:c>
      <x:c r="K246" s="63" t="str">
        <x:v>ReleveCompte_Pennylane_mai_2026.pdf</x:v>
      </x:c>
    </x:row>
    <x:row r="247">
      <x:c r="A247" s="74" t="n">
        <x:v>46174</x:v>
      </x:c>
      <x:c r="B247" s="63" t="str">
        <x:v>Juin</x:v>
      </x:c>
      <x:c r="C247" s="63" t="str">
        <x:v>Pennylane</x:v>
      </x:c>
      <x:c r="D247" s="63" t="str">
        <x:v>Virement</x:v>
      </x:c>
      <x:c r="E247" s="63" t="str">
        <x:v>199063705029168 DUPLAIS LEO TIERSLIEU DU SUD</x:v>
      </x:c>
      <x:c r="F247" s="63" t="str">
        <x:v>Non</x:v>
      </x:c>
      <x:c r="G247" s="63" t="str">
        <x:v>Décaissement externe</x:v>
      </x:c>
      <x:c r="H247" s="63" t="str">
        <x:v>Salaires nets</x:v>
      </x:c>
      <x:c r="I247" s="64" t="n">
        <x:v>0</x:v>
      </x:c>
      <x:c r="J247" s="64" t="n">
        <x:v>1839.72</x:v>
      </x:c>
      <x:c r="K247" s="63" t="str">
        <x:v>ReleveCompte_Pennylane_juin_2026.pdf</x:v>
      </x:c>
    </x:row>
    <x:row r="248">
      <x:c r="A248" s="74" t="n">
        <x:v>46174</x:v>
      </x:c>
      <x:c r="B248" s="63" t="str">
        <x:v>Juin</x:v>
      </x:c>
      <x:c r="C248" s="63" t="str">
        <x:v>Pennylane</x:v>
      </x:c>
      <x:c r="D248" s="63" t="str">
        <x:v>Virement</x:v>
      </x:c>
      <x:c r="E248" s="63" t="str">
        <x:v>279053726113150 DAGORN CELINE TIERSLIEU DU SUD</x:v>
      </x:c>
      <x:c r="F248" s="63" t="str">
        <x:v>Non</x:v>
      </x:c>
      <x:c r="G248" s="63" t="str">
        <x:v>Décaissement externe</x:v>
      </x:c>
      <x:c r="H248" s="63" t="str">
        <x:v>Salaires nets</x:v>
      </x:c>
      <x:c r="I248" s="64" t="n">
        <x:v>0</x:v>
      </x:c>
      <x:c r="J248" s="64" t="n">
        <x:v>608.62</x:v>
      </x:c>
      <x:c r="K248" s="63" t="str">
        <x:v>ReleveCompte_Pennylane_juin_2026.pdf</x:v>
      </x:c>
    </x:row>
    <x:row r="249">
      <x:c r="A249" s="74" t="n">
        <x:v>46174</x:v>
      </x:c>
      <x:c r="B249" s="63" t="str">
        <x:v>Juin</x:v>
      </x:c>
      <x:c r="C249" s="63" t="str">
        <x:v>Pennylane</x:v>
      </x:c>
      <x:c r="D249" s="63" t="str">
        <x:v>Virement</x:v>
      </x:c>
      <x:c r="E249" s="63" t="str">
        <x:v>282013726112341 BOIREAU EMMANUELLE TIERSLIEU</x:v>
      </x:c>
      <x:c r="F249" s="63" t="str">
        <x:v>Non</x:v>
      </x:c>
      <x:c r="G249" s="63" t="str">
        <x:v>Décaissement externe</x:v>
      </x:c>
      <x:c r="H249" s="63" t="str">
        <x:v>Salaires nets</x:v>
      </x:c>
      <x:c r="I249" s="64" t="n">
        <x:v>0</x:v>
      </x:c>
      <x:c r="J249" s="64" t="n">
        <x:v>653.04</x:v>
      </x:c>
      <x:c r="K249" s="63" t="str">
        <x:v>ReleveCompte_Pennylane_juin_2026.pdf</x:v>
      </x:c>
    </x:row>
    <x:row r="250">
      <x:c r="A250" s="74" t="n">
        <x:v>46174</x:v>
      </x:c>
      <x:c r="B250" s="63" t="str">
        <x:v>Juin</x:v>
      </x:c>
      <x:c r="C250" s="63" t="str">
        <x:v>Pennylane</x:v>
      </x:c>
      <x:c r="D250" s="63" t="str">
        <x:v>Virement</x:v>
      </x:c>
      <x:c r="E250" s="63" t="str">
        <x:v>293057521443130 VANLAER CLEMENTINE TIERSLIEU</x:v>
      </x:c>
      <x:c r="F250" s="63" t="str">
        <x:v>Non</x:v>
      </x:c>
      <x:c r="G250" s="63" t="str">
        <x:v>Décaissement externe</x:v>
      </x:c>
      <x:c r="H250" s="63" t="str">
        <x:v>Salaires nets</x:v>
      </x:c>
      <x:c r="I250" s="64" t="n">
        <x:v>0</x:v>
      </x:c>
      <x:c r="J250" s="64" t="n">
        <x:v>479.87</x:v>
      </x:c>
      <x:c r="K250" s="63" t="str">
        <x:v>ReleveCompte_Pennylane_juin_2026.pdf</x:v>
      </x:c>
    </x:row>
    <x:row r="251">
      <x:c r="A251" s="74" t="n">
        <x:v>46174</x:v>
      </x:c>
      <x:c r="B251" s="63" t="str">
        <x:v>Juin</x:v>
      </x:c>
      <x:c r="C251" s="63" t="str">
        <x:v>Pennylane</x:v>
      </x:c>
      <x:c r="D251" s="63" t="str">
        <x:v>Virement</x:v>
      </x:c>
      <x:c r="E251" s="63" t="str">
        <x:v>FA2600337 DUTHOO SOC INFOR G G TIERSLIEU DU</x:v>
      </x:c>
      <x:c r="F251" s="63" t="str">
        <x:v>Non</x:v>
      </x:c>
      <x:c r="G251" s="63" t="str">
        <x:v>Décaissement externe</x:v>
      </x:c>
      <x:c r="H251" s="63" t="str">
        <x:v>Prestations informatiques / Duthoo</x:v>
      </x:c>
      <x:c r="I251" s="64" t="n">
        <x:v>0</x:v>
      </x:c>
      <x:c r="J251" s="64" t="n">
        <x:v>1800</x:v>
      </x:c>
      <x:c r="K251" s="63" t="str">
        <x:v>ReleveCompte_Pennylane_juin_2026.pdf</x:v>
      </x:c>
    </x:row>
    <x:row r="252">
      <x:c r="A252" s="74" t="n">
        <x:v>46174</x:v>
      </x:c>
      <x:c r="B252" s="63" t="str">
        <x:v>Juin</x:v>
      </x:c>
      <x:c r="C252" s="63" t="str">
        <x:v>Pennylane</x:v>
      </x:c>
      <x:c r="D252" s="63" t="str">
        <x:v>Virement</x:v>
      </x:c>
      <x:c r="E252" s="63" t="str">
        <x:v>Notes de frais - Céline Dagorn (1)</x:v>
      </x:c>
      <x:c r="F252" s="63" t="str">
        <x:v>Non</x:v>
      </x:c>
      <x:c r="G252" s="63" t="str">
        <x:v>Décaissement externe</x:v>
      </x:c>
      <x:c r="H252" s="63" t="str">
        <x:v>Déplacements, hébergement et notes de frais</x:v>
      </x:c>
      <x:c r="I252" s="64" t="n">
        <x:v>0</x:v>
      </x:c>
      <x:c r="J252" s="64" t="n">
        <x:v>17.6</x:v>
      </x:c>
      <x:c r="K252" s="63" t="str">
        <x:v>ReleveCompte_Pennylane_juin_2026.pdf</x:v>
      </x:c>
    </x:row>
    <x:row r="253">
      <x:c r="A253" s="74" t="n">
        <x:v>46174</x:v>
      </x:c>
      <x:c r="B253" s="63" t="str">
        <x:v>Juin</x:v>
      </x:c>
      <x:c r="C253" s="63" t="str">
        <x:v>Pennylane</x:v>
      </x:c>
      <x:c r="D253" s="63" t="str">
        <x:v>Virement</x:v>
      </x:c>
      <x:c r="E253" s="63" t="str">
        <x:v>PAQUEREAU Corentin TIERSLIEU DU SUD TOURAINE</x:v>
      </x:c>
      <x:c r="F253" s="63" t="str">
        <x:v>Non</x:v>
      </x:c>
      <x:c r="G253" s="63" t="str">
        <x:v>Décaissement externe</x:v>
      </x:c>
      <x:c r="H253" s="63" t="str">
        <x:v>Salaires nets</x:v>
      </x:c>
      <x:c r="I253" s="64" t="n">
        <x:v>0</x:v>
      </x:c>
      <x:c r="J253" s="64" t="n">
        <x:v>1814.68</x:v>
      </x:c>
      <x:c r="K253" s="63" t="str">
        <x:v>ReleveCompte_Pennylane_juin_2026.pdf</x:v>
      </x:c>
    </x:row>
    <x:row r="254">
      <x:c r="A254" s="74" t="n">
        <x:v>46174</x:v>
      </x:c>
      <x:c r="B254" s="63" t="str">
        <x:v>Juin</x:v>
      </x:c>
      <x:c r="C254" s="63" t="str">
        <x:v>Pennylane</x:v>
      </x:c>
      <x:c r="D254" s="63" t="str">
        <x:v>Carte</x:v>
      </x:c>
      <x:c r="E254" s="63" t="str">
        <x:v>Pennylane - Gael Mallet **5345</x:v>
      </x:c>
      <x:c r="F254" s="63" t="str">
        <x:v>Non</x:v>
      </x:c>
      <x:c r="G254" s="63" t="str">
        <x:v>Décaissement externe</x:v>
      </x:c>
      <x:c r="H254" s="63" t="str">
        <x:v>Communication, logiciels et abonnements</x:v>
      </x:c>
      <x:c r="I254" s="64" t="n">
        <x:v>0</x:v>
      </x:c>
      <x:c r="J254" s="64" t="n">
        <x:v>94.8</x:v>
      </x:c>
      <x:c r="K254" s="63" t="str">
        <x:v>ReleveCompte_Pennylane_juin_2026.pdf</x:v>
      </x:c>
    </x:row>
    <x:row r="255">
      <x:c r="A255" s="74" t="n">
        <x:v>46174</x:v>
      </x:c>
      <x:c r="B255" s="63" t="str">
        <x:v>Juin</x:v>
      </x:c>
      <x:c r="C255" s="63" t="str">
        <x:v>Pennylane</x:v>
      </x:c>
      <x:c r="D255" s="63" t="str">
        <x:v>Carte</x:v>
      </x:c>
      <x:c r="E255" s="63" t="str">
        <x:v>PrintOclock - Gael Mallet **5345</x:v>
      </x:c>
      <x:c r="F255" s="63" t="str">
        <x:v>Non</x:v>
      </x:c>
      <x:c r="G255" s="63" t="str">
        <x:v>Décaissement externe</x:v>
      </x:c>
      <x:c r="H255" s="63" t="str">
        <x:v>Communication, logiciels et abonnements</x:v>
      </x:c>
      <x:c r="I255" s="64" t="n">
        <x:v>0</x:v>
      </x:c>
      <x:c r="J255" s="64" t="n">
        <x:v>21.42</x:v>
      </x:c>
      <x:c r="K255" s="63" t="str">
        <x:v>ReleveCompte_Pennylane_juin_2026.pdf</x:v>
      </x:c>
    </x:row>
    <x:row r="256">
      <x:c r="A256" s="74" t="n">
        <x:v>46177</x:v>
      </x:c>
      <x:c r="B256" s="63" t="str">
        <x:v>Juin</x:v>
      </x:c>
      <x:c r="C256" s="63" t="str">
        <x:v>Pennylane</x:v>
      </x:c>
      <x:c r="D256" s="63" t="str">
        <x:v>Carte</x:v>
      </x:c>
      <x:c r="E256" s="63" t="str">
        <x:v>Paula Brazil - Clémentine Vanlaer **5012</x:v>
      </x:c>
      <x:c r="F256" s="63" t="str">
        <x:v>Non</x:v>
      </x:c>
      <x:c r="G256" s="63" t="str">
        <x:v>Décaissement externe</x:v>
      </x:c>
      <x:c r="H256" s="63" t="str">
        <x:v>Achats, fournitures, restauration et événementiel</x:v>
      </x:c>
      <x:c r="I256" s="64" t="n">
        <x:v>0</x:v>
      </x:c>
      <x:c r="J256" s="64" t="n">
        <x:v>39.9</x:v>
      </x:c>
      <x:c r="K256" s="63" t="str">
        <x:v>ReleveCompte_Pennylane_juin_2026.pdf</x:v>
      </x:c>
    </x:row>
    <x:row r="257">
      <x:c r="A257" s="74" t="n">
        <x:v>46177</x:v>
      </x:c>
      <x:c r="B257" s="63" t="str">
        <x:v>Juin</x:v>
      </x:c>
      <x:c r="C257" s="63" t="str">
        <x:v>Pennylane</x:v>
      </x:c>
      <x:c r="D257" s="63" t="str">
        <x:v>Carte</x:v>
      </x:c>
      <x:c r="E257" s="63" t="str">
        <x:v>SNCF - Clémentine Vanlaer **5012</x:v>
      </x:c>
      <x:c r="F257" s="63" t="str">
        <x:v>Non</x:v>
      </x:c>
      <x:c r="G257" s="63" t="str">
        <x:v>Décaissement externe</x:v>
      </x:c>
      <x:c r="H257" s="63" t="str">
        <x:v>Déplacements, hébergement et notes de frais</x:v>
      </x:c>
      <x:c r="I257" s="64" t="n">
        <x:v>0</x:v>
      </x:c>
      <x:c r="J257" s="64" t="n">
        <x:v>2.3</x:v>
      </x:c>
      <x:c r="K257" s="63" t="str">
        <x:v>ReleveCompte_Pennylane_juin_2026.pdf</x:v>
      </x:c>
    </x:row>
    <x:row r="258">
      <x:c r="A258" s="74" t="n">
        <x:v>46177</x:v>
      </x:c>
      <x:c r="B258" s="63" t="str">
        <x:v>Juin</x:v>
      </x:c>
      <x:c r="C258" s="63" t="str">
        <x:v>Pennylane</x:v>
      </x:c>
      <x:c r="D258" s="63" t="str">
        <x:v>Carte</x:v>
      </x:c>
      <x:c r="E258" s="63" t="str">
        <x:v>SNCF - Corentin Paquereau **6814</x:v>
      </x:c>
      <x:c r="F258" s="63" t="str">
        <x:v>Non</x:v>
      </x:c>
      <x:c r="G258" s="63" t="str">
        <x:v>Décaissement externe</x:v>
      </x:c>
      <x:c r="H258" s="63" t="str">
        <x:v>Déplacements, hébergement et notes de frais</x:v>
      </x:c>
      <x:c r="I258" s="64" t="n">
        <x:v>0</x:v>
      </x:c>
      <x:c r="J258" s="64" t="n">
        <x:v>1.7</x:v>
      </x:c>
      <x:c r="K258" s="63" t="str">
        <x:v>ReleveCompte_Pennylane_juin_2026.pdf</x:v>
      </x:c>
    </x:row>
    <x:row r="259">
      <x:c r="A259" s="74" t="n">
        <x:v>46177</x:v>
      </x:c>
      <x:c r="B259" s="63" t="str">
        <x:v>Juin</x:v>
      </x:c>
      <x:c r="C259" s="63" t="str">
        <x:v>Pennylane</x:v>
      </x:c>
      <x:c r="D259" s="63" t="str">
        <x:v>Carte</x:v>
      </x:c>
      <x:c r="E259" s="63" t="str">
        <x:v>SNCF - Corentin Paquereau **6814</x:v>
      </x:c>
      <x:c r="F259" s="63" t="str">
        <x:v>Non</x:v>
      </x:c>
      <x:c r="G259" s="63" t="str">
        <x:v>Décaissement externe</x:v>
      </x:c>
      <x:c r="H259" s="63" t="str">
        <x:v>Déplacements, hébergement et notes de frais</x:v>
      </x:c>
      <x:c r="I259" s="64" t="n">
        <x:v>0</x:v>
      </x:c>
      <x:c r="J259" s="64" t="n">
        <x:v>5.2</x:v>
      </x:c>
      <x:c r="K259" s="63" t="str">
        <x:v>ReleveCompte_Pennylane_juin_2026.pdf</x:v>
      </x:c>
    </x:row>
    <x:row r="260">
      <x:c r="A260" s="74" t="n">
        <x:v>46178</x:v>
      </x:c>
      <x:c r="B260" s="63" t="str">
        <x:v>Juin</x:v>
      </x:c>
      <x:c r="C260" s="63" t="str">
        <x:v>Crédit Agricole</x:v>
      </x:c>
      <x:c r="D260" s="63" t="str">
        <x:v>Prélèvement</x:v>
      </x:c>
      <x:c r="E260" s="63" t="str">
        <x:v>AXA France IARD SA</x:v>
      </x:c>
      <x:c r="F260" s="63" t="str">
        <x:v>Non</x:v>
      </x:c>
      <x:c r="G260" s="63" t="str">
        <x:v>Décaissement externe</x:v>
      </x:c>
      <x:c r="H260" s="63" t="str">
        <x:v>Assurances</x:v>
      </x:c>
      <x:c r="I260" s="64" t="n">
        <x:v>0</x:v>
      </x:c>
      <x:c r="J260" s="64" t="n">
        <x:v>192.75</x:v>
      </x:c>
      <x:c r="K260" s="63" t="str">
        <x:v>Relevé Crédit Agricole Juin 2026</x:v>
      </x:c>
    </x:row>
    <x:row r="261">
      <x:c r="A261" s="74" t="n">
        <x:v>46178</x:v>
      </x:c>
      <x:c r="B261" s="63" t="str">
        <x:v>Juin</x:v>
      </x:c>
      <x:c r="C261" s="63" t="str">
        <x:v>Pennylane</x:v>
      </x:c>
      <x:c r="D261" s="63" t="str">
        <x:v>Virement</x:v>
      </x:c>
      <x:c r="E261" s="63" t="str">
        <x:v>FA2500742 DUTHOO SOC INFOR G G TIERSLIEU DU</x:v>
      </x:c>
      <x:c r="F261" s="63" t="str">
        <x:v>Non</x:v>
      </x:c>
      <x:c r="G261" s="63" t="str">
        <x:v>Décaissement externe</x:v>
      </x:c>
      <x:c r="H261" s="63" t="str">
        <x:v>Prestations informatiques / Duthoo</x:v>
      </x:c>
      <x:c r="I261" s="64" t="n">
        <x:v>0</x:v>
      </x:c>
      <x:c r="J261" s="64" t="n">
        <x:v>1800</x:v>
      </x:c>
      <x:c r="K261" s="63" t="str">
        <x:v>ReleveCompte_Pennylane_juin_2026.pdf</x:v>
      </x:c>
    </x:row>
    <x:row r="262">
      <x:c r="A262" s="74" t="n">
        <x:v>46179</x:v>
      </x:c>
      <x:c r="B262" s="63" t="str">
        <x:v>Juin</x:v>
      </x:c>
      <x:c r="C262" s="63" t="str">
        <x:v>Pennylane</x:v>
      </x:c>
      <x:c r="D262" s="63" t="str">
        <x:v>Carte</x:v>
      </x:c>
      <x:c r="E262" s="63" t="str">
        <x:v>La Nouvelle République - Gael Mallet **5345</x:v>
      </x:c>
      <x:c r="F262" s="63" t="str">
        <x:v>Non</x:v>
      </x:c>
      <x:c r="G262" s="63" t="str">
        <x:v>Décaissement externe</x:v>
      </x:c>
      <x:c r="H262" s="63" t="str">
        <x:v>Communication, logiciels et abonnements</x:v>
      </x:c>
      <x:c r="I262" s="64" t="n">
        <x:v>0</x:v>
      </x:c>
      <x:c r="J262" s="64" t="n">
        <x:v>14.9</x:v>
      </x:c>
      <x:c r="K262" s="63" t="str">
        <x:v>ReleveCompte_Pennylane_juin_2026.pdf</x:v>
      </x:c>
    </x:row>
    <x:row r="263">
      <x:c r="A263" s="74" t="n">
        <x:v>46181</x:v>
      </x:c>
      <x:c r="B263" s="63" t="str">
        <x:v>Juin</x:v>
      </x:c>
      <x:c r="C263" s="63" t="str">
        <x:v>Pennylane</x:v>
      </x:c>
      <x:c r="D263" s="63" t="str">
        <x:v>Virement</x:v>
      </x:c>
      <x:c r="E263" s="63" t="str">
        <x:v>2026 138 58589 C LOCHES SUD TOURAINE TIERSLIEU</x:v>
      </x:c>
      <x:c r="F263" s="63" t="str">
        <x:v>Non</x:v>
      </x:c>
      <x:c r="G263" s="63" t="str">
        <x:v>Décaissement externe</x:v>
      </x:c>
      <x:c r="H263" s="63" t="str">
        <x:v>Autres prestataires et dépenses d'actions</x:v>
      </x:c>
      <x:c r="I263" s="64" t="n">
        <x:v>0</x:v>
      </x:c>
      <x:c r="J263" s="64" t="n">
        <x:v>100.08</x:v>
      </x:c>
      <x:c r="K263" s="63" t="str">
        <x:v>ReleveCompte_Pennylane_juin_2026.pdf</x:v>
      </x:c>
    </x:row>
    <x:row r="264">
      <x:c r="A264" s="74" t="n">
        <x:v>46181</x:v>
      </x:c>
      <x:c r="B264" s="63" t="str">
        <x:v>Juin</x:v>
      </x:c>
      <x:c r="C264" s="63" t="str">
        <x:v>Pennylane</x:v>
      </x:c>
      <x:c r="D264" s="63" t="str">
        <x:v>Virement</x:v>
      </x:c>
      <x:c r="E264" s="63" t="str">
        <x:v>F202605620 O3 EXPERTISE COMPTABLE TIERSLIEU DU</x:v>
      </x:c>
      <x:c r="F264" s="63" t="str">
        <x:v>Non</x:v>
      </x:c>
      <x:c r="G264" s="63" t="str">
        <x:v>Décaissement externe</x:v>
      </x:c>
      <x:c r="H264" s="63" t="str">
        <x:v>Expertise comptable</x:v>
      </x:c>
      <x:c r="I264" s="64" t="n">
        <x:v>0</x:v>
      </x:c>
      <x:c r="J264" s="64" t="n">
        <x:v>174</x:v>
      </x:c>
      <x:c r="K264" s="63" t="str">
        <x:v>ReleveCompte_Pennylane_juin_2026.pdf</x:v>
      </x:c>
    </x:row>
    <x:row r="265">
      <x:c r="A265" s="74" t="n">
        <x:v>46181</x:v>
      </x:c>
      <x:c r="B265" s="63" t="str">
        <x:v>Juin</x:v>
      </x:c>
      <x:c r="C265" s="63" t="str">
        <x:v>Pennylane</x:v>
      </x:c>
      <x:c r="D265" s="63" t="str">
        <x:v>Carte</x:v>
      </x:c>
      <x:c r="E265" s="63" t="str">
        <x:v>Meta - Gael Mallet **5345</x:v>
      </x:c>
      <x:c r="F265" s="63" t="str">
        <x:v>Non</x:v>
      </x:c>
      <x:c r="G265" s="63" t="str">
        <x:v>Décaissement externe</x:v>
      </x:c>
      <x:c r="H265" s="63" t="str">
        <x:v>Communication, logiciels et abonnements</x:v>
      </x:c>
      <x:c r="I265" s="64" t="n">
        <x:v>0</x:v>
      </x:c>
      <x:c r="J265" s="64" t="n">
        <x:v>1.84</x:v>
      </x:c>
      <x:c r="K265" s="63" t="str">
        <x:v>ReleveCompte_Pennylane_juin_2026.pdf</x:v>
      </x:c>
    </x:row>
    <x:row r="266">
      <x:c r="A266" s="74" t="n">
        <x:v>46182</x:v>
      </x:c>
      <x:c r="B266" s="63" t="str">
        <x:v>Juin</x:v>
      </x:c>
      <x:c r="C266" s="63" t="str">
        <x:v>Pennylane</x:v>
      </x:c>
      <x:c r="D266" s="63" t="str">
        <x:v>Carte</x:v>
      </x:c>
      <x:c r="E266" s="63" t="str">
        <x:v>Meta - Gael Mallet **5345</x:v>
      </x:c>
      <x:c r="F266" s="63" t="str">
        <x:v>Non</x:v>
      </x:c>
      <x:c r="G266" s="63" t="str">
        <x:v>Décaissement externe</x:v>
      </x:c>
      <x:c r="H266" s="63" t="str">
        <x:v>Communication, logiciels et abonnements</x:v>
      </x:c>
      <x:c r="I266" s="64" t="n">
        <x:v>0</x:v>
      </x:c>
      <x:c r="J266" s="64" t="n">
        <x:v>4.27</x:v>
      </x:c>
      <x:c r="K266" s="63" t="str">
        <x:v>ReleveCompte_Pennylane_juin_2026.pdf</x:v>
      </x:c>
    </x:row>
    <x:row r="267">
      <x:c r="A267" s="74" t="n">
        <x:v>46183</x:v>
      </x:c>
      <x:c r="B267" s="63" t="str">
        <x:v>Juin</x:v>
      </x:c>
      <x:c r="C267" s="63" t="str">
        <x:v>Pennylane</x:v>
      </x:c>
      <x:c r="D267" s="63" t="str">
        <x:v>Virement</x:v>
      </x:c>
      <x:c r="E267" s="63" t="str">
        <x:v>emplacement stand Fermenterre</x:v>
      </x:c>
      <x:c r="F267" s="63" t="str">
        <x:v>Non</x:v>
      </x:c>
      <x:c r="G267" s="63" t="str">
        <x:v>Encaissement externe</x:v>
      </x:c>
      <x:c r="H267" s="63" t="str">
        <x:v>Prestations, ventes et produits d'activité</x:v>
      </x:c>
      <x:c r="I267" s="64" t="n">
        <x:v>40</x:v>
      </x:c>
      <x:c r="J267" s="64" t="n">
        <x:v>0</x:v>
      </x:c>
      <x:c r="K267" s="63" t="str">
        <x:v>ReleveCompte_Pennylane_juin_2026.pdf</x:v>
      </x:c>
    </x:row>
    <x:row r="268">
      <x:c r="A268" s="74" t="n">
        <x:v>46185</x:v>
      </x:c>
      <x:c r="B268" s="63" t="str">
        <x:v>Juin</x:v>
      </x:c>
      <x:c r="C268" s="63" t="str">
        <x:v>Pennylane</x:v>
      </x:c>
      <x:c r="D268" s="63" t="str">
        <x:v>Carte</x:v>
      </x:c>
      <x:c r="E268" s="63" t="str">
        <x:v>Super U - Clémentine Vanlaer **5012</x:v>
      </x:c>
      <x:c r="F268" s="63" t="str">
        <x:v>Non</x:v>
      </x:c>
      <x:c r="G268" s="63" t="str">
        <x:v>Décaissement externe</x:v>
      </x:c>
      <x:c r="H268" s="63" t="str">
        <x:v>Achats, fournitures, restauration et événementiel</x:v>
      </x:c>
      <x:c r="I268" s="64" t="n">
        <x:v>0</x:v>
      </x:c>
      <x:c r="J268" s="64" t="n">
        <x:v>26.98</x:v>
      </x:c>
      <x:c r="K268" s="63" t="str">
        <x:v>ReleveCompte_Pennylane_juin_2026.pdf</x:v>
      </x:c>
    </x:row>
    <x:row r="269">
      <x:c r="A269" s="74" t="n">
        <x:v>46185</x:v>
      </x:c>
      <x:c r="B269" s="63" t="str">
        <x:v>Juin</x:v>
      </x:c>
      <x:c r="C269" s="63" t="str">
        <x:v>Pennylane</x:v>
      </x:c>
      <x:c r="D269" s="63" t="str">
        <x:v>Carte</x:v>
      </x:c>
      <x:c r="E269" s="63" t="str">
        <x:v>Super U - Clémentine Vanlaer **5012</x:v>
      </x:c>
      <x:c r="F269" s="63" t="str">
        <x:v>Non</x:v>
      </x:c>
      <x:c r="G269" s="63" t="str">
        <x:v>Décaissement externe</x:v>
      </x:c>
      <x:c r="H269" s="63" t="str">
        <x:v>Achats, fournitures, restauration et événementiel</x:v>
      </x:c>
      <x:c r="I269" s="64" t="n">
        <x:v>0</x:v>
      </x:c>
      <x:c r="J269" s="64" t="n">
        <x:v>17.53</x:v>
      </x:c>
      <x:c r="K269" s="63" t="str">
        <x:v>ReleveCompte_Pennylane_juin_2026.pdf</x:v>
      </x:c>
    </x:row>
    <x:row r="270">
      <x:c r="A270" s="74" t="n">
        <x:v>46186</x:v>
      </x:c>
      <x:c r="B270" s="63" t="str">
        <x:v>Juin</x:v>
      </x:c>
      <x:c r="C270" s="63" t="str">
        <x:v>Pennylane</x:v>
      </x:c>
      <x:c r="D270" s="63" t="str">
        <x:v>Carte</x:v>
      </x:c>
      <x:c r="E270" s="63" t="str">
        <x:v>Super U - Clémentine Vanlaer **5012</x:v>
      </x:c>
      <x:c r="F270" s="63" t="str">
        <x:v>Non</x:v>
      </x:c>
      <x:c r="G270" s="63" t="str">
        <x:v>Décaissement externe</x:v>
      </x:c>
      <x:c r="H270" s="63" t="str">
        <x:v>Achats, fournitures, restauration et événementiel</x:v>
      </x:c>
      <x:c r="I270" s="64" t="n">
        <x:v>0</x:v>
      </x:c>
      <x:c r="J270" s="64" t="n">
        <x:v>36.65</x:v>
      </x:c>
      <x:c r="K270" s="63" t="str">
        <x:v>ReleveCompte_Pennylane_juin_2026.pdf</x:v>
      </x:c>
    </x:row>
    <x:row r="271">
      <x:c r="A271" s="74" t="n">
        <x:v>46188</x:v>
      </x:c>
      <x:c r="B271" s="63" t="str">
        <x:v>Juin</x:v>
      </x:c>
      <x:c r="C271" s="63" t="str">
        <x:v>Crédit Agricole</x:v>
      </x:c>
      <x:c r="D271" s="63" t="str">
        <x:v>Prélèvement</x:v>
      </x:c>
      <x:c r="E271" s="63" t="str">
        <x:v>Allianz IARD</x:v>
      </x:c>
      <x:c r="F271" s="63" t="str">
        <x:v>Non</x:v>
      </x:c>
      <x:c r="G271" s="63" t="str">
        <x:v>Décaissement externe</x:v>
      </x:c>
      <x:c r="H271" s="63" t="str">
        <x:v>Assurances</x:v>
      </x:c>
      <x:c r="I271" s="64" t="n">
        <x:v>0</x:v>
      </x:c>
      <x:c r="J271" s="64" t="n">
        <x:v>100.85</x:v>
      </x:c>
      <x:c r="K271" s="63" t="str">
        <x:v>Relevé Crédit Agricole Juin 2026</x:v>
      </x:c>
    </x:row>
    <x:row r="272">
      <x:c r="A272" s="74" t="n">
        <x:v>46188</x:v>
      </x:c>
      <x:c r="B272" s="63" t="str">
        <x:v>Juin</x:v>
      </x:c>
      <x:c r="C272" s="63" t="str">
        <x:v>Crédit Agricole</x:v>
      </x:c>
      <x:c r="D272" s="63" t="str">
        <x:v>Prélèvement</x:v>
      </x:c>
      <x:c r="E272" s="63" t="str">
        <x:v>Free Pro</x:v>
      </x:c>
      <x:c r="F272" s="63" t="str">
        <x:v>Non</x:v>
      </x:c>
      <x:c r="G272" s="63" t="str">
        <x:v>Décaissement externe</x:v>
      </x:c>
      <x:c r="H272" s="63" t="str">
        <x:v>Télécommunications</x:v>
      </x:c>
      <x:c r="I272" s="64" t="n">
        <x:v>0</x:v>
      </x:c>
      <x:c r="J272" s="64" t="n">
        <x:v>83.96</x:v>
      </x:c>
      <x:c r="K272" s="63" t="str">
        <x:v>Relevé Crédit Agricole Juin 2026</x:v>
      </x:c>
    </x:row>
    <x:row r="273">
      <x:c r="A273" s="74" t="n">
        <x:v>46189</x:v>
      </x:c>
      <x:c r="B273" s="63" t="str">
        <x:v>Juin</x:v>
      </x:c>
      <x:c r="C273" s="63" t="str">
        <x:v>Crédit Agricole</x:v>
      </x:c>
      <x:c r="D273" s="63" t="str">
        <x:v>Prélèvement</x:v>
      </x:c>
      <x:c r="E273" s="63" t="str">
        <x:v>URSSAF Centre</x:v>
      </x:c>
      <x:c r="F273" s="63" t="str">
        <x:v>Non</x:v>
      </x:c>
      <x:c r="G273" s="63" t="str">
        <x:v>Décaissement externe</x:v>
      </x:c>
      <x:c r="H273" s="63" t="str">
        <x:v>Cotisations URSSAF</x:v>
      </x:c>
      <x:c r="I273" s="64" t="n">
        <x:v>0</x:v>
      </x:c>
      <x:c r="J273" s="64" t="n">
        <x:v>2533</x:v>
      </x:c>
      <x:c r="K273" s="63" t="str">
        <x:v>Relevé Crédit Agricole Juin 2026</x:v>
      </x:c>
    </x:row>
    <x:row r="274">
      <x:c r="A274" s="74" t="n">
        <x:v>46189</x:v>
      </x:c>
      <x:c r="B274" s="63" t="str">
        <x:v>Juin</x:v>
      </x:c>
      <x:c r="C274" s="63" t="str">
        <x:v>Pennylane</x:v>
      </x:c>
      <x:c r="D274" s="63" t="str">
        <x:v>Carte</x:v>
      </x:c>
      <x:c r="E274" s="63" t="str">
        <x:v>WP Umbrella - Gael Mallet **5345</x:v>
      </x:c>
      <x:c r="F274" s="63" t="str">
        <x:v>Non</x:v>
      </x:c>
      <x:c r="G274" s="63" t="str">
        <x:v>Décaissement externe</x:v>
      </x:c>
      <x:c r="H274" s="63" t="str">
        <x:v>Communication, logiciels et abonnements</x:v>
      </x:c>
      <x:c r="I274" s="64" t="n">
        <x:v>0</x:v>
      </x:c>
      <x:c r="J274" s="64" t="n">
        <x:v>7.16</x:v>
      </x:c>
      <x:c r="K274" s="63" t="str">
        <x:v>ReleveCompte_Pennylane_juin_2026.pdf</x:v>
      </x:c>
    </x:row>
    <x:row r="275">
      <x:c r="A275" s="74" t="n">
        <x:v>46190</x:v>
      </x:c>
      <x:c r="B275" s="63" t="str">
        <x:v>Juin</x:v>
      </x:c>
      <x:c r="C275" s="63" t="str">
        <x:v>Pennylane</x:v>
      </x:c>
      <x:c r="D275" s="63" t="str">
        <x:v>Virement</x:v>
      </x:c>
      <x:c r="E275" s="63" t="str">
        <x:v>Notes de frais - Corentin Paquereau (1)</x:v>
      </x:c>
      <x:c r="F275" s="63" t="str">
        <x:v>Non</x:v>
      </x:c>
      <x:c r="G275" s="63" t="str">
        <x:v>Décaissement externe</x:v>
      </x:c>
      <x:c r="H275" s="63" t="str">
        <x:v>Déplacements, hébergement et notes de frais</x:v>
      </x:c>
      <x:c r="I275" s="64" t="n">
        <x:v>0</x:v>
      </x:c>
      <x:c r="J275" s="64" t="n">
        <x:v>9.09</x:v>
      </x:c>
      <x:c r="K275" s="63" t="str">
        <x:v>ReleveCompte_Pennylane_juin_2026.pdf</x:v>
      </x:c>
    </x:row>
    <x:row r="276">
      <x:c r="A276" s="74" t="n">
        <x:v>46190</x:v>
      </x:c>
      <x:c r="B276" s="63" t="str">
        <x:v>Juin</x:v>
      </x:c>
      <x:c r="C276" s="63" t="str">
        <x:v>Pennylane</x:v>
      </x:c>
      <x:c r="D276" s="63" t="str">
        <x:v>Carte</x:v>
      </x:c>
      <x:c r="E276" s="63" t="str">
        <x:v>PEOPLE HOTEL TOURS - Corentin Paquereau **6814</x:v>
      </x:c>
      <x:c r="F276" s="63" t="str">
        <x:v>Non</x:v>
      </x:c>
      <x:c r="G276" s="63" t="str">
        <x:v>Décaissement externe</x:v>
      </x:c>
      <x:c r="H276" s="63" t="str">
        <x:v>Déplacements, hébergement et notes de frais</x:v>
      </x:c>
      <x:c r="I276" s="64" t="n">
        <x:v>0</x:v>
      </x:c>
      <x:c r="J276" s="64" t="n">
        <x:v>44.8</x:v>
      </x:c>
      <x:c r="K276" s="63" t="str">
        <x:v>ReleveCompte_Pennylane_juin_2026.pdf</x:v>
      </x:c>
    </x:row>
    <x:row r="277">
      <x:c r="A277" s="74" t="n">
        <x:v>46190</x:v>
      </x:c>
      <x:c r="B277" s="63" t="str">
        <x:v>Juin</x:v>
      </x:c>
      <x:c r="C277" s="63" t="str">
        <x:v>Pennylane</x:v>
      </x:c>
      <x:c r="D277" s="63" t="str">
        <x:v>Carte</x:v>
      </x:c>
      <x:c r="E277" s="63" t="str">
        <x:v>Pennylane - Gael Mallet **5345</x:v>
      </x:c>
      <x:c r="F277" s="63" t="str">
        <x:v>Non</x:v>
      </x:c>
      <x:c r="G277" s="63" t="str">
        <x:v>Décaissement externe</x:v>
      </x:c>
      <x:c r="H277" s="63" t="str">
        <x:v>Communication, logiciels et abonnements</x:v>
      </x:c>
      <x:c r="I277" s="64" t="n">
        <x:v>0</x:v>
      </x:c>
      <x:c r="J277" s="64" t="n">
        <x:v>34.8</x:v>
      </x:c>
      <x:c r="K277" s="63" t="str">
        <x:v>ReleveCompte_Pennylane_juin_2026.pdf</x:v>
      </x:c>
    </x:row>
    <x:row r="278">
      <x:c r="A278" s="74" t="n">
        <x:v>46192</x:v>
      </x:c>
      <x:c r="B278" s="63" t="str">
        <x:v>Juin</x:v>
      </x:c>
      <x:c r="C278" s="63" t="str">
        <x:v>Crédit Agricole</x:v>
      </x:c>
      <x:c r="D278" s="63" t="str">
        <x:v>Prélèvement</x:v>
      </x:c>
      <x:c r="E278" s="63" t="str">
        <x:v>Electricité de France</x:v>
      </x:c>
      <x:c r="F278" s="63" t="str">
        <x:v>Non</x:v>
      </x:c>
      <x:c r="G278" s="63" t="str">
        <x:v>Décaissement externe</x:v>
      </x:c>
      <x:c r="H278" s="63" t="str">
        <x:v>Électricité</x:v>
      </x:c>
      <x:c r="I278" s="64" t="n">
        <x:v>0</x:v>
      </x:c>
      <x:c r="J278" s="64" t="n">
        <x:v>46.09</x:v>
      </x:c>
      <x:c r="K278" s="63" t="str">
        <x:v>Relevé Crédit Agricole Juin 2026</x:v>
      </x:c>
    </x:row>
    <x:row r="279">
      <x:c r="A279" s="74" t="n">
        <x:v>46192</x:v>
      </x:c>
      <x:c r="B279" s="63" t="str">
        <x:v>Juin</x:v>
      </x:c>
      <x:c r="C279" s="63" t="str">
        <x:v>Pennylane</x:v>
      </x:c>
      <x:c r="D279" s="63" t="str">
        <x:v>Carte</x:v>
      </x:c>
      <x:c r="E279" s="63" t="str">
        <x:v>PrintOclock - Gael Mallet **5345</x:v>
      </x:c>
      <x:c r="F279" s="63" t="str">
        <x:v>Non</x:v>
      </x:c>
      <x:c r="G279" s="63" t="str">
        <x:v>Décaissement externe</x:v>
      </x:c>
      <x:c r="H279" s="63" t="str">
        <x:v>Communication, logiciels et abonnements</x:v>
      </x:c>
      <x:c r="I279" s="64" t="n">
        <x:v>0</x:v>
      </x:c>
      <x:c r="J279" s="64" t="n">
        <x:v>111.18</x:v>
      </x:c>
      <x:c r="K279" s="63" t="str">
        <x:v>ReleveCompte_Pennylane_juin_2026.pdf</x:v>
      </x:c>
    </x:row>
    <x:row r="280">
      <x:c r="A280" s="74" t="n">
        <x:v>46194</x:v>
      </x:c>
      <x:c r="B280" s="63" t="str">
        <x:v>Juin</x:v>
      </x:c>
      <x:c r="C280" s="63" t="str">
        <x:v>Pennylane</x:v>
      </x:c>
      <x:c r="D280" s="63" t="str">
        <x:v>Carte</x:v>
      </x:c>
      <x:c r="E280" s="63" t="str">
        <x:v>Notion - Gael Mallet **5345</x:v>
      </x:c>
      <x:c r="F280" s="63" t="str">
        <x:v>Non</x:v>
      </x:c>
      <x:c r="G280" s="63" t="str">
        <x:v>Décaissement externe</x:v>
      </x:c>
      <x:c r="H280" s="63" t="str">
        <x:v>Communication, logiciels et abonnements</x:v>
      </x:c>
      <x:c r="I280" s="64" t="n">
        <x:v>0</x:v>
      </x:c>
      <x:c r="J280" s="64" t="n">
        <x:v>55.64</x:v>
      </x:c>
      <x:c r="K280" s="63" t="str">
        <x:v>ReleveCompte_Pennylane_juin_2026.pdf</x:v>
      </x:c>
    </x:row>
    <x:row r="281">
      <x:c r="A281" s="74" t="n">
        <x:v>46196</x:v>
      </x:c>
      <x:c r="B281" s="63" t="str">
        <x:v>Juin</x:v>
      </x:c>
      <x:c r="C281" s="63" t="str">
        <x:v>Crédit Agricole</x:v>
      </x:c>
      <x:c r="D281" s="63" t="str">
        <x:v>Prélèvement</x:v>
      </x:c>
      <x:c r="E281" s="63" t="str">
        <x:v>DGFIP PAS</x:v>
      </x:c>
      <x:c r="F281" s="63" t="str">
        <x:v>Non</x:v>
      </x:c>
      <x:c r="G281" s="63" t="str">
        <x:v>Décaissement externe</x:v>
      </x:c>
      <x:c r="H281" s="63" t="str">
        <x:v>Prélèvement à la source / impôts</x:v>
      </x:c>
      <x:c r="I281" s="64" t="n">
        <x:v>0</x:v>
      </x:c>
      <x:c r="J281" s="64" t="n">
        <x:v>49</x:v>
      </x:c>
      <x:c r="K281" s="63" t="str">
        <x:v>Relevé Crédit Agricole Juin 2026</x:v>
      </x:c>
    </x:row>
    <x:row r="282">
      <x:c r="A282" s="74" t="n">
        <x:v>46196</x:v>
      </x:c>
      <x:c r="B282" s="63" t="str">
        <x:v>Juin</x:v>
      </x:c>
      <x:c r="C282" s="63" t="str">
        <x:v>Crédit Agricole</x:v>
      </x:c>
      <x:c r="D282" s="63" t="str">
        <x:v>Prélèvement</x:v>
      </x:c>
      <x:c r="E282" s="63" t="str">
        <x:v>Harmonie Mutuelle</x:v>
      </x:c>
      <x:c r="F282" s="63" t="str">
        <x:v>Non</x:v>
      </x:c>
      <x:c r="G282" s="63" t="str">
        <x:v>Décaissement externe</x:v>
      </x:c>
      <x:c r="H282" s="63" t="str">
        <x:v>Mutuelle santé</x:v>
      </x:c>
      <x:c r="I282" s="64" t="n">
        <x:v>0</x:v>
      </x:c>
      <x:c r="J282" s="64" t="n">
        <x:v>595.41</x:v>
      </x:c>
      <x:c r="K282" s="63" t="str">
        <x:v>Relevé Crédit Agricole Juin 2026</x:v>
      </x:c>
    </x:row>
    <x:row r="283">
      <x:c r="A283" s="74" t="n">
        <x:v>46197</x:v>
      </x:c>
      <x:c r="B283" s="63" t="str">
        <x:v>Juin</x:v>
      </x:c>
      <x:c r="C283" s="63" t="str">
        <x:v>Pennylane</x:v>
      </x:c>
      <x:c r="D283" s="63" t="str">
        <x:v>Virement</x:v>
      </x:c>
      <x:c r="E283" s="63" t="str">
        <x:v>Notes de frais - Clementine VANLAER (1)</x:v>
      </x:c>
      <x:c r="F283" s="63" t="str">
        <x:v>Non</x:v>
      </x:c>
      <x:c r="G283" s="63" t="str">
        <x:v>Décaissement externe</x:v>
      </x:c>
      <x:c r="H283" s="63" t="str">
        <x:v>Déplacements, hébergement et notes de frais</x:v>
      </x:c>
      <x:c r="I283" s="64" t="n">
        <x:v>0</x:v>
      </x:c>
      <x:c r="J283" s="64" t="n">
        <x:v>42.56</x:v>
      </x:c>
      <x:c r="K283" s="63" t="str">
        <x:v>ReleveCompte_Pennylane_juin_2026.pdf</x:v>
      </x:c>
    </x:row>
    <x:row r="284">
      <x:c r="A284" s="74" t="n">
        <x:v>46198</x:v>
      </x:c>
      <x:c r="B284" s="63" t="str">
        <x:v>Juin</x:v>
      </x:c>
      <x:c r="C284" s="63" t="str">
        <x:v>Crédit Agricole</x:v>
      </x:c>
      <x:c r="D284" s="63" t="str">
        <x:v>Prélèvement</x:v>
      </x:c>
      <x:c r="E284" s="63" t="str">
        <x:v>AG2R Reunica</x:v>
      </x:c>
      <x:c r="F284" s="63" t="str">
        <x:v>Non</x:v>
      </x:c>
      <x:c r="G284" s="63" t="str">
        <x:v>Décaissement externe</x:v>
      </x:c>
      <x:c r="H284" s="63" t="str">
        <x:v>Retraite et prévoyance</x:v>
      </x:c>
      <x:c r="I284" s="64" t="n">
        <x:v>0</x:v>
      </x:c>
      <x:c r="J284" s="64" t="n">
        <x:v>480.41</x:v>
      </x:c>
      <x:c r="K284" s="63" t="str">
        <x:v>Relevé Crédit Agricole Juin 2026</x:v>
      </x:c>
    </x:row>
    <x:row r="285">
      <x:c r="A285" s="74" t="n">
        <x:v>46198</x:v>
      </x:c>
      <x:c r="B285" s="63" t="str">
        <x:v>Juin</x:v>
      </x:c>
      <x:c r="C285" s="63" t="str">
        <x:v>Pennylane</x:v>
      </x:c>
      <x:c r="D285" s="63" t="str">
        <x:v>Carte</x:v>
      </x:c>
      <x:c r="E285" s="63" t="str">
        <x:v>Au Comptoir - Corentin Paquereau **6814</x:v>
      </x:c>
      <x:c r="F285" s="63" t="str">
        <x:v>Non</x:v>
      </x:c>
      <x:c r="G285" s="63" t="str">
        <x:v>Décaissement externe</x:v>
      </x:c>
      <x:c r="H285" s="63" t="str">
        <x:v>Achats, fournitures, restauration et événementiel</x:v>
      </x:c>
      <x:c r="I285" s="64" t="n">
        <x:v>0</x:v>
      </x:c>
      <x:c r="J285" s="64" t="n">
        <x:v>29.5</x:v>
      </x:c>
      <x:c r="K285" s="63" t="str">
        <x:v>ReleveCompte_Pennylane_juin_2026.pdf</x:v>
      </x:c>
    </x:row>
    <x:row r="286">
      <x:c r="A286" s="74" t="n">
        <x:v>46200</x:v>
      </x:c>
      <x:c r="B286" s="63" t="str">
        <x:v>Juin</x:v>
      </x:c>
      <x:c r="C286" s="63" t="str">
        <x:v>Pennylane</x:v>
      </x:c>
      <x:c r="D286" s="63" t="str">
        <x:v>Carte</x:v>
      </x:c>
      <x:c r="E286" s="63" t="str">
        <x:v>BENARD FRANCK - Corentin Paquereau **6814</x:v>
      </x:c>
      <x:c r="F286" s="63" t="str">
        <x:v>Non</x:v>
      </x:c>
      <x:c r="G286" s="63" t="str">
        <x:v>Décaissement externe</x:v>
      </x:c>
      <x:c r="H286" s="63" t="str">
        <x:v>Achats, fournitures, restauration et événementiel</x:v>
      </x:c>
      <x:c r="I286" s="64" t="n">
        <x:v>0</x:v>
      </x:c>
      <x:c r="J286" s="64" t="n">
        <x:v>2.2</x:v>
      </x:c>
      <x:c r="K286" s="63" t="str">
        <x:v>ReleveCompte_Pennylane_juin_2026.pdf</x:v>
      </x:c>
    </x:row>
    <x:row r="287">
      <x:c r="A287" s="74" t="n">
        <x:v>46203</x:v>
      </x:c>
      <x:c r="B287" s="63" t="str">
        <x:v>Juin</x:v>
      </x:c>
      <x:c r="C287" s="63" t="str">
        <x:v>Crédit Agricole</x:v>
      </x:c>
      <x:c r="D287" s="63" t="str">
        <x:v>Virement interne</x:v>
      </x:c>
      <x:c r="E287" s="63" t="str">
        <x:v>Vir Inst vers Pennylane Tiers-li</x:v>
      </x:c>
      <x:c r="F287" s="63" t="str">
        <x:v>Oui</x:v>
      </x:c>
      <x:c r="G287" s="63" t="str">
        <x:v>Virement interne neutralisé</x:v>
      </x:c>
      <x:c r="H287" s="63" t="str">
        <x:v>Virements internes</x:v>
      </x:c>
      <x:c r="I287" s="64" t="n">
        <x:v>0</x:v>
      </x:c>
      <x:c r="J287" s="64" t="n">
        <x:v>8500</x:v>
      </x:c>
      <x:c r="K287" s="63" t="str">
        <x:v>Relevé Crédit Agricole Juin 2026</x:v>
      </x:c>
    </x:row>
    <x:row r="288">
      <x:c r="A288" s="74" t="n">
        <x:v>46203</x:v>
      </x:c>
      <x:c r="B288" s="63" t="str">
        <x:v>Juin</x:v>
      </x:c>
      <x:c r="C288" s="63" t="str">
        <x:v>Pennylane</x:v>
      </x:c>
      <x:c r="D288" s="63" t="str">
        <x:v>Virement</x:v>
      </x:c>
      <x:c r="E288" s="63" t="str">
        <x:v>003 BOIREAU EMMANUELLE TIERSLIEU DU SUD</x:v>
      </x:c>
      <x:c r="F288" s="63" t="str">
        <x:v>Non</x:v>
      </x:c>
      <x:c r="G288" s="63" t="str">
        <x:v>Décaissement externe</x:v>
      </x:c>
      <x:c r="H288" s="63" t="str">
        <x:v>Salaires nets</x:v>
      </x:c>
      <x:c r="I288" s="64" t="n">
        <x:v>0</x:v>
      </x:c>
      <x:c r="J288" s="64" t="n">
        <x:v>1259.76</x:v>
      </x:c>
      <x:c r="K288" s="63" t="str">
        <x:v>ReleveCompte_Pennylane_juin_2026.pdf</x:v>
      </x:c>
    </x:row>
    <x:row r="289">
      <x:c r="A289" s="74" t="n">
        <x:v>46203</x:v>
      </x:c>
      <x:c r="B289" s="63" t="str">
        <x:v>Juin</x:v>
      </x:c>
      <x:c r="C289" s="63" t="str">
        <x:v>Pennylane</x:v>
      </x:c>
      <x:c r="D289" s="63" t="str">
        <x:v>Virement</x:v>
      </x:c>
      <x:c r="E289" s="63" t="str">
        <x:v>100078509228359 PAQUEREAU Corentin TIERSLIEU DU</x:v>
      </x:c>
      <x:c r="F289" s="63" t="str">
        <x:v>Non</x:v>
      </x:c>
      <x:c r="G289" s="63" t="str">
        <x:v>Décaissement externe</x:v>
      </x:c>
      <x:c r="H289" s="63" t="str">
        <x:v>Salaires nets</x:v>
      </x:c>
      <x:c r="I289" s="64" t="n">
        <x:v>0</x:v>
      </x:c>
      <x:c r="J289" s="64" t="n">
        <x:v>1814.68</x:v>
      </x:c>
      <x:c r="K289" s="63" t="str">
        <x:v>ReleveCompte_Pennylane_juin_2026.pdf</x:v>
      </x:c>
    </x:row>
    <x:row r="290">
      <x:c r="A290" s="74" t="n">
        <x:v>46203</x:v>
      </x:c>
      <x:c r="B290" s="63" t="str">
        <x:v>Juin</x:v>
      </x:c>
      <x:c r="C290" s="63" t="str">
        <x:v>Pennylane</x:v>
      </x:c>
      <x:c r="D290" s="63" t="str">
        <x:v>Virement</x:v>
      </x:c>
      <x:c r="E290" s="63" t="str">
        <x:v>199063705029168 DUPLAIS LEO TIERSLIEU DU SUD</x:v>
      </x:c>
      <x:c r="F290" s="63" t="str">
        <x:v>Non</x:v>
      </x:c>
      <x:c r="G290" s="63" t="str">
        <x:v>Décaissement externe</x:v>
      </x:c>
      <x:c r="H290" s="63" t="str">
        <x:v>Salaires nets</x:v>
      </x:c>
      <x:c r="I290" s="64" t="n">
        <x:v>0</x:v>
      </x:c>
      <x:c r="J290" s="64" t="n">
        <x:v>1854.13</x:v>
      </x:c>
      <x:c r="K290" s="63" t="str">
        <x:v>ReleveCompte_Pennylane_juin_2026.pdf</x:v>
      </x:c>
    </x:row>
    <x:row r="291">
      <x:c r="A291" s="74" t="n">
        <x:v>46203</x:v>
      </x:c>
      <x:c r="B291" s="63" t="str">
        <x:v>Juin</x:v>
      </x:c>
      <x:c r="C291" s="63" t="str">
        <x:v>Pennylane</x:v>
      </x:c>
      <x:c r="D291" s="63" t="str">
        <x:v>Virement</x:v>
      </x:c>
      <x:c r="E291" s="63" t="str">
        <x:v>279053726113150 DAGORN CELINE TIERSLIEU DU SUD</x:v>
      </x:c>
      <x:c r="F291" s="63" t="str">
        <x:v>Non</x:v>
      </x:c>
      <x:c r="G291" s="63" t="str">
        <x:v>Décaissement externe</x:v>
      </x:c>
      <x:c r="H291" s="63" t="str">
        <x:v>Salaires nets</x:v>
      </x:c>
      <x:c r="I291" s="64" t="n">
        <x:v>0</x:v>
      </x:c>
      <x:c r="J291" s="64" t="n">
        <x:v>608.62</x:v>
      </x:c>
      <x:c r="K291" s="63" t="str">
        <x:v>ReleveCompte_Pennylane_juin_2026.pdf</x:v>
      </x:c>
    </x:row>
    <x:row r="292">
      <x:c r="A292" s="74" t="n">
        <x:v>46203</x:v>
      </x:c>
      <x:c r="B292" s="63" t="str">
        <x:v>Juin</x:v>
      </x:c>
      <x:c r="C292" s="63" t="str">
        <x:v>Pennylane</x:v>
      </x:c>
      <x:c r="D292" s="63" t="str">
        <x:v>Virement</x:v>
      </x:c>
      <x:c r="E292" s="63" t="str">
        <x:v>293057521443130 VANLAER CLEMENTINE TIERSLIEU</x:v>
      </x:c>
      <x:c r="F292" s="63" t="str">
        <x:v>Non</x:v>
      </x:c>
      <x:c r="G292" s="63" t="str">
        <x:v>Décaissement externe</x:v>
      </x:c>
      <x:c r="H292" s="63" t="str">
        <x:v>Salaires nets</x:v>
      </x:c>
      <x:c r="I292" s="64" t="n">
        <x:v>0</x:v>
      </x:c>
      <x:c r="J292" s="64" t="n">
        <x:v>2131.52</x:v>
      </x:c>
      <x:c r="K292" s="63" t="str">
        <x:v>ReleveCompte_Pennylane_juin_2026.pdf</x:v>
      </x:c>
    </x:row>
    <x:row r="293">
      <x:c r="A293" s="74" t="n">
        <x:v>46203</x:v>
      </x:c>
      <x:c r="B293" s="63" t="str">
        <x:v>Juin</x:v>
      </x:c>
      <x:c r="C293" s="63" t="str">
        <x:v>Pennylane</x:v>
      </x:c>
      <x:c r="D293" s="63" t="str">
        <x:v>Virement</x:v>
      </x:c>
      <x:c r="E293" s="63" t="str">
        <x:v>Transfer from ASSOC. TIERS-LIEU DU SUD TOURAINE</x:v>
      </x:c>
      <x:c r="F293" s="63" t="str">
        <x:v>Oui</x:v>
      </x:c>
      <x:c r="G293" s="63" t="str">
        <x:v>Virement interne neutralisé</x:v>
      </x:c>
      <x:c r="H293" s="63" t="str">
        <x:v>Virements internes</x:v>
      </x:c>
      <x:c r="I293" s="64" t="n">
        <x:v>8500</x:v>
      </x:c>
      <x:c r="J293" s="64" t="n">
        <x:v>0</x:v>
      </x:c>
      <x:c r="K293" s="63" t="str">
        <x:v>ReleveCompte_Pennylane_juin_2026.pdf</x:v>
      </x:c>
    </x:row>
    <x:row r="294">
      <x:c r="A294" s="74" t="n">
        <x:v>46203</x:v>
      </x:c>
      <x:c r="B294" s="63" t="str">
        <x:v>Juin</x:v>
      </x:c>
      <x:c r="C294" s="63" t="str">
        <x:v>Pennylane</x:v>
      </x:c>
      <x:c r="D294" s="63" t="str">
        <x:v>Carte</x:v>
      </x:c>
      <x:c r="E294" s="63" t="str">
        <x:v>Vistaprint - Clémentine Vanlaer **5012</x:v>
      </x:c>
      <x:c r="F294" s="63" t="str">
        <x:v>Non</x:v>
      </x:c>
      <x:c r="G294" s="63" t="str">
        <x:v>Décaissement externe</x:v>
      </x:c>
      <x:c r="H294" s="63" t="str">
        <x:v>Communication, logiciels et abonnements</x:v>
      </x:c>
      <x:c r="I294" s="64" t="n">
        <x:v>0</x:v>
      </x:c>
      <x:c r="J294" s="64" t="n">
        <x:v>395.51</x:v>
      </x:c>
      <x:c r="K294" s="63" t="str">
        <x:v>ReleveCompte_Pennylane_juin_2026.pdf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00ce14171d74d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" hidden="0" customWidth="1"/>
    <x:col min="7" max="7" width="40" hidden="0" customWidth="1"/>
    <x:col min="8" max="8" width="18" hidden="0" customWidth="1"/>
    <x:col min="9" max="9" width="44" hidden="0" customWidth="1"/>
    <x:col min="10" max="10" width="22" hidden="0" customWidth="1"/>
    <x:col min="11" max="11" width="3" hidden="0" customWidth="1"/>
    <x:col min="12" max="12" width="3" hidden="0" customWidth="1"/>
  </x:cols>
  <x:sheetData>
    <x:row r="1" ht="28" customHeight="1">
      <x:c r="A1" s="82" t="str">
        <x:v>PLAN DE FINANCEMENT 2026 – TIERS-LIEU DU SUD TOURAINE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</x:row>
    <x:row r="2">
      <x:c r="A2" s="85" t="str">
        <x:v>Synthèse annuelle des recettes et dépenses issue du plan de trésorerie vérifié</x:v>
      </x:c>
      <x:c r="B2" s="85"/>
      <x:c r="C2" s="85"/>
      <x:c r="D2" s="85"/>
      <x:c r="E2" s="85"/>
      <x:c r="F2" s="85"/>
      <x:c r="G2" s="85"/>
      <x:c r="H2" s="85"/>
      <x:c r="I2" s="85"/>
      <x:c r="J2" s="85"/>
      <x:c r="K2" s="85"/>
      <x:c r="L2" s="85"/>
    </x:row>
    <x:row r="4">
      <x:c r="A4" s="92" t="str">
        <x:v>TOTAL RECETTES 2026</x:v>
      </x:c>
      <x:c r="B4" s="92"/>
      <x:c r="C4" s="92" t="str">
        <x:v>TOTAL DÉPENSES 2026</x:v>
      </x:c>
      <x:c r="D4" s="92"/>
      <x:c r="E4" s="92" t="str">
        <x:v>SOLDE RECETTES - DÉPENSES</x:v>
      </x:c>
      <x:c r="F4" s="92"/>
      <x:c r="G4" s="92" t="str">
        <x:v>TRÉSORERIE FINALE PRÉVUE</x:v>
      </x:c>
      <x:c r="H4" s="92"/>
    </x:row>
    <x:row r="5">
      <x:c r="A5" s="116" t="n">
        <x:f>SUM('Plan de trésorerie'!B18:M18)</x:f>
        <x:v>165410.2</x:v>
      </x:c>
      <x:c r="B5" s="116"/>
      <x:c r="C5" s="117" t="n">
        <x:f>SUM('Plan de trésorerie'!B38:M38)</x:f>
        <x:v>251065.06999999998</x:v>
      </x:c>
      <x:c r="D5" s="117"/>
      <x:c r="E5" s="106" t="n">
        <x:f>A5-C5</x:f>
        <x:v>-85654.86999999997</x:v>
      </x:c>
      <x:c r="F5" s="106"/>
      <x:c r="G5" s="116" t="n">
        <x:f>'Plan de trésorerie'!M41</x:f>
        <x:v>27204.4</x:v>
      </x:c>
      <x:c r="H5" s="116"/>
    </x:row>
    <x:row r="8">
      <x:c r="A8" s="87" t="str">
        <x:v>RESSOURCES / RECETTES 2026</x:v>
      </x:c>
      <x:c r="B8" s="87"/>
      <x:c r="C8" s="87"/>
      <x:c r="D8" s="87"/>
      <x:c r="E8" s="87"/>
      <x:c r="G8" s="87" t="str">
        <x:v>SYNTHÈSE DU FINANCEMENT</x:v>
      </x:c>
      <x:c r="H8" s="87"/>
      <x:c r="I8" s="87"/>
      <x:c r="J8" s="87"/>
    </x:row>
    <x:row r="9">
      <x:c r="A9" s="91" t="str">
        <x:v>Nature des recettes</x:v>
      </x:c>
      <x:c r="B9" s="91" t="str">
        <x:v>Réalisé janvier-juin (€)</x:v>
      </x:c>
      <x:c r="C9" s="91" t="str">
        <x:v>Prévision juillet-décembre (€)</x:v>
      </x:c>
      <x:c r="D9" s="91" t="str">
        <x:v>Total 2026 (€)</x:v>
      </x:c>
      <x:c r="E9" s="91" t="str">
        <x:v>% des recettes</x:v>
      </x:c>
      <x:c r="F9" s="63"/>
      <x:c r="G9" s="91" t="str">
        <x:v>Indicateur</x:v>
      </x:c>
      <x:c r="H9" s="91" t="str">
        <x:v>Montant (€)</x:v>
      </x:c>
      <x:c r="I9" s="91" t="str">
        <x:v>Lecture</x:v>
      </x:c>
      <x:c r="J9" s="91" t="str">
        <x:v>Source</x:v>
      </x:c>
    </x:row>
    <x:row r="10">
      <x:c r="A10" s="63" t="str">
        <x:v>Prestations, ventes et produits d'activité</x:v>
      </x:c>
      <x:c r="B10" s="122" t="n">
        <x:f>SUM('Plan de trésorerie'!B9:G9)</x:f>
        <x:v>916.74</x:v>
      </x:c>
      <x:c r="C10" s="122" t="n">
        <x:f>SUM('Plan de trésorerie'!H9:M9)</x:f>
        <x:v>0</x:v>
      </x:c>
      <x:c r="D10" s="122" t="n">
        <x:f>B10+C10</x:f>
        <x:v>916.74</x:v>
      </x:c>
      <x:c r="E10" s="123" t="n">
        <x:f>IF($D$19=0,0,D10/$D$19)</x:f>
        <x:v>0.005542221700959191</x:v>
      </x:c>
      <x:c r="F10" s="63"/>
      <x:c r="G10" s="63" t="str">
        <x:v>Trésorerie au 1er janvier 2026</x:v>
      </x:c>
      <x:c r="H10" s="122" t="n">
        <x:f>'Plan de trésorerie'!B6</x:f>
        <x:v>112859.27</x:v>
      </x:c>
      <x:c r="I10" s="63" t="str">
        <x:v>Réserve de trésorerie disponible au démarrage</x:v>
      </x:c>
      <x:c r="J10" s="63" t="str">
        <x:v>Plan de trésorerie</x:v>
      </x:c>
    </x:row>
    <x:row r="11">
      <x:c r="A11" s="63" t="str">
        <x:v>Subventions et financements reçus</x:v>
      </x:c>
      <x:c r="B11" s="122" t="n">
        <x:f>SUM('Plan de trésorerie'!B10:G10)</x:f>
        <x:v>7663.91</x:v>
      </x:c>
      <x:c r="C11" s="122" t="n">
        <x:f>SUM('Plan de trésorerie'!H10:M10)</x:f>
        <x:v>0</x:v>
      </x:c>
      <x:c r="D11" s="122" t="n">
        <x:f>B11+C11</x:f>
        <x:v>7663.91</x:v>
      </x:c>
      <x:c r="E11" s="123" t="n">
        <x:f>IF($D$19=0,0,D11/$D$19)</x:f>
        <x:v>0.04633275336103819</x:v>
      </x:c>
      <x:c r="F11" s="63"/>
      <x:c r="G11" s="63" t="str">
        <x:v>Recettes encaissées / prévues en 2026</x:v>
      </x:c>
      <x:c r="H11" s="122" t="n">
        <x:f>D19</x:f>
        <x:v>165410.2</x:v>
      </x:c>
      <x:c r="I11" s="63" t="str">
        <x:v>Total des encaissements externes de l'année</x:v>
      </x:c>
      <x:c r="J11" s="63" t="str">
        <x:v>Plan de trésorerie</x:v>
      </x:c>
    </x:row>
    <x:row r="12">
      <x:c r="A12" s="63" t="str">
        <x:v>Remboursements et avoirs</x:v>
      </x:c>
      <x:c r="B12" s="122" t="n">
        <x:f>SUM('Plan de trésorerie'!B11:G11)</x:f>
        <x:v>2828.1299999999997</x:v>
      </x:c>
      <x:c r="C12" s="122" t="n">
        <x:f>SUM('Plan de trésorerie'!H11:M11)</x:f>
        <x:v>0</x:v>
      </x:c>
      <x:c r="D12" s="122" t="n">
        <x:f>B12+C12</x:f>
        <x:v>2828.1299999999997</x:v>
      </x:c>
      <x:c r="E12" s="123" t="n">
        <x:f>IF($D$19=0,0,D12/$D$19)</x:f>
        <x:v>0.017097675959523655</x:v>
      </x:c>
      <x:c r="F12" s="63"/>
      <x:c r="G12" s="63" t="str">
        <x:v>Dépenses de fonctionnement 2026</x:v>
      </x:c>
      <x:c r="H12" s="122" t="n">
        <x:f>D41-D35</x:f>
        <x:v>235065.09000000003</x:v>
      </x:c>
      <x:c r="I12" s="63" t="str">
        <x:v>Dépenses hors ligne « Travaux et investissements »</x:v>
      </x:c>
      <x:c r="J12" s="63" t="str">
        <x:v>Plan de trésorerie</x:v>
      </x:c>
    </x:row>
    <x:row r="13">
      <x:c r="A13" s="63" t="str">
        <x:v>Autres encaissements / apports</x:v>
      </x:c>
      <x:c r="B13" s="122" t="n">
        <x:f>SUM('Plan de trésorerie'!B12:G12)</x:f>
        <x:v>3001.42</x:v>
      </x:c>
      <x:c r="C13" s="122" t="n">
        <x:f>SUM('Plan de trésorerie'!H12:M12)</x:f>
        <x:v>0</x:v>
      </x:c>
      <x:c r="D13" s="122" t="n">
        <x:f>B13+C13</x:f>
        <x:v>3001.42</x:v>
      </x:c>
      <x:c r="E13" s="123" t="n">
        <x:f>IF($D$19=0,0,D13/$D$19)</x:f>
        <x:v>0.01814531389237181</x:v>
      </x:c>
      <x:c r="F13" s="63"/>
      <x:c r="G13" s="63" t="str">
        <x:v>Travaux et investissements 2026</x:v>
      </x:c>
      <x:c r="H13" s="122" t="n">
        <x:f>D35</x:f>
        <x:v>15999.98</x:v>
      </x:c>
      <x:c r="I13" s="63" t="str">
        <x:v>Dépenses classées en investissements / travaux</x:v>
      </x:c>
      <x:c r="J13" s="63" t="str">
        <x:v>Plan de trésorerie</x:v>
      </x:c>
    </x:row>
    <x:row r="14">
      <x:c r="A14" s="63" t="str">
        <x:v>FSE</x:v>
      </x:c>
      <x:c r="B14" s="122" t="n">
        <x:f>SUM('Plan de trésorerie'!B13:G13)</x:f>
        <x:v>0</x:v>
      </x:c>
      <x:c r="C14" s="122" t="n">
        <x:f>SUM('Plan de trésorerie'!H13:M13)</x:f>
        <x:v>92000</x:v>
      </x:c>
      <x:c r="D14" s="122" t="n">
        <x:f>B14+C14</x:f>
        <x:v>92000</x:v>
      </x:c>
      <x:c r="E14" s="123" t="n">
        <x:f>IF($D$19=0,0,D14/$D$19)</x:f>
        <x:v>0.5561930279994824</x:v>
      </x:c>
      <x:c r="F14" s="63"/>
      <x:c r="G14" s="63" t="str">
        <x:v>Total dépenses 2026</x:v>
      </x:c>
      <x:c r="H14" s="122" t="n">
        <x:f>D41</x:f>
        <x:v>251065.07000000004</x:v>
      </x:c>
      <x:c r="I14" s="63" t="str">
        <x:v>Ensemble des décaissements de l'année</x:v>
      </x:c>
      <x:c r="J14" s="63" t="str">
        <x:v>Plan de trésorerie</x:v>
      </x:c>
    </x:row>
    <x:row r="15">
      <x:c r="A15" s="63" t="str">
        <x:v>Fondation de France</x:v>
      </x:c>
      <x:c r="B15" s="122" t="n">
        <x:f>SUM('Plan de trésorerie'!B14:G14)</x:f>
        <x:v>0</x:v>
      </x:c>
      <x:c r="C15" s="122" t="n">
        <x:f>SUM('Plan de trésorerie'!H14:M14)</x:f>
        <x:v>15000</x:v>
      </x:c>
      <x:c r="D15" s="122" t="n">
        <x:f>B15+C15</x:f>
        <x:v>15000</x:v>
      </x:c>
      <x:c r="E15" s="123" t="n">
        <x:f>IF($D$19=0,0,D15/$D$19)</x:f>
        <x:v>0.09068364586948084</x:v>
      </x:c>
      <x:c r="F15" s="63"/>
      <x:c r="G15" s="63" t="str">
        <x:v>Déficit de financement annuel</x:v>
      </x:c>
      <x:c r="H15" s="122" t="n">
        <x:f>D19-D41</x:f>
        <x:v>-85654.87000000002</x:v>
      </x:c>
      <x:c r="I15" s="63" t="str">
        <x:v>Part des dépenses non couverte par les recettes 2026</x:v>
      </x:c>
      <x:c r="J15" s="63" t="str">
        <x:v>Calcul</x:v>
      </x:c>
    </x:row>
    <x:row r="16">
      <x:c r="A16" s="63" t="str">
        <x:v>ADEME</x:v>
      </x:c>
      <x:c r="B16" s="122" t="n">
        <x:f>SUM('Plan de trésorerie'!B15:G15)</x:f>
        <x:v>0</x:v>
      </x:c>
      <x:c r="C16" s="122" t="n">
        <x:f>SUM('Plan de trésorerie'!H15:M15)</x:f>
        <x:v>9000</x:v>
      </x:c>
      <x:c r="D16" s="122" t="n">
        <x:f>B16+C16</x:f>
        <x:v>9000</x:v>
      </x:c>
      <x:c r="E16" s="123" t="n">
        <x:f>IF($D$19=0,0,D16/$D$19)</x:f>
        <x:v>0.054410187521688504</x:v>
      </x:c>
      <x:c r="F16" s="63"/>
      <x:c r="G16" s="63" t="str">
        <x:v>Trésorerie finale prévue au 31/12/2026</x:v>
      </x:c>
      <x:c r="H16" s="122" t="n">
        <x:f>G5</x:f>
        <x:v>27204.4</x:v>
      </x:c>
      <x:c r="I16" s="63" t="str">
        <x:v>Trésorerie restante après absorption du déficit annuel</x:v>
      </x:c>
      <x:c r="J16" s="63" t="str">
        <x:v>Plan de trésorerie</x:v>
      </x:c>
    </x:row>
    <x:row r="17">
      <x:c r="A17" s="63" t="str">
        <x:v>DREETS</x:v>
      </x:c>
      <x:c r="B17" s="122" t="n">
        <x:f>SUM('Plan de trésorerie'!B16:G16)</x:f>
        <x:v>0</x:v>
      </x:c>
      <x:c r="C17" s="122" t="n">
        <x:f>SUM('Plan de trésorerie'!H16:M16)</x:f>
        <x:v>25000</x:v>
      </x:c>
      <x:c r="D17" s="122" t="n">
        <x:f>B17+C17</x:f>
        <x:v>25000</x:v>
      </x:c>
      <x:c r="E17" s="123" t="n">
        <x:f>IF($D$19=0,0,D17/$D$19)</x:f>
        <x:v>0.15113940978246806</x:v>
      </x:c>
      <x:c r="F17" s="63"/>
      <x:c r="G17" s="63" t="str">
        <x:v>Besoin maximal de trésorerie en cours d'année</x:v>
      </x:c>
      <x:c r="H17" s="122" t="n">
        <x:f>ABS(MIN('Plan de trésorerie'!H41:M41))</x:f>
        <x:v>19185.15</x:v>
      </x:c>
      <x:c r="I17" s="63" t="str">
        <x:v>Point bas prévisionnel avant les versements attendus</x:v>
      </x:c>
      <x:c r="J17" s="63" t="str">
        <x:v>Plan de trésorerie</x:v>
      </x:c>
    </x:row>
    <x:row r="18">
      <x:c r="A18" s="63" t="str">
        <x:v>État</x:v>
      </x:c>
      <x:c r="B18" s="122" t="n">
        <x:f>SUM('Plan de trésorerie'!B17:G17)</x:f>
        <x:v>0</x:v>
      </x:c>
      <x:c r="C18" s="122" t="n">
        <x:f>SUM('Plan de trésorerie'!H17:M17)</x:f>
        <x:v>10000</x:v>
      </x:c>
      <x:c r="D18" s="122" t="n">
        <x:f>B18+C18</x:f>
        <x:v>10000</x:v>
      </x:c>
      <x:c r="E18" s="123" t="n">
        <x:f>IF($D$19=0,0,D18/$D$19)</x:f>
        <x:v>0.06045576391298722</x:v>
      </x:c>
      <x:c r="F18" s="63"/>
      <x:c r="G18" s="63"/>
      <x:c r="H18" s="63"/>
      <x:c r="I18" s="63"/>
      <x:c r="J18" s="63"/>
    </x:row>
    <x:row r="19">
      <x:c r="A19" s="124" t="str">
        <x:v>TOTAL RESSOURCES / RECETTES</x:v>
      </x:c>
      <x:c r="B19" s="125" t="n">
        <x:f>SUM(B10:B18)</x:f>
        <x:v>14410.199999999999</x:v>
      </x:c>
      <x:c r="C19" s="125" t="n">
        <x:f>SUM(C10:C18)</x:f>
        <x:v>151000</x:v>
      </x:c>
      <x:c r="D19" s="125" t="n">
        <x:f>SUM(D10:D18)</x:f>
        <x:v>165410.2</x:v>
      </x:c>
      <x:c r="E19" s="126" t="n">
        <x:f>SUM(E10:E18)</x:f>
        <x:v>1</x:v>
      </x:c>
      <x:c r="F19" s="63"/>
      <x:c r="G19" s="63"/>
      <x:c r="H19" s="63"/>
      <x:c r="I19" s="63"/>
      <x:c r="J19" s="63"/>
    </x:row>
    <x:row r="20">
      <x:c r="A20" s="63"/>
      <x:c r="B20" s="63"/>
      <x:c r="C20" s="63"/>
      <x:c r="D20" s="63"/>
      <x:c r="E20" s="63"/>
      <x:c r="F20" s="63"/>
      <x:c r="G20" s="127" t="str">
        <x:v>LECTURE DU PLAN DE FINANCEMENT</x:v>
      </x:c>
      <x:c r="H20" s="127"/>
      <x:c r="I20" s="127"/>
      <x:c r="J20" s="127"/>
    </x:row>
    <x:row r="21" ht="26" customHeight="1">
      <x:c r="A21" s="63"/>
      <x:c r="B21" s="63"/>
      <x:c r="C21" s="63"/>
      <x:c r="D21" s="63"/>
      <x:c r="E21" s="63"/>
      <x:c r="F21" s="63"/>
      <x:c r="G21" s="121" t="str">
        <x:v>Sur l’exercice 2026, les recettes prévues s’élèvent à 165 410,20 €, contre 251 065,07 € de dépenses. Le solde annuel est donc déficitaire de 85 654,87 €. Ce déficit est financé par la trésorerie disponible au 1er janvier 2026, ce qui conduit à une trésorerie finale prévisionnelle de 27 204,40 € au 31 décembre 2026.</x:v>
      </x:c>
      <x:c r="H21" s="121"/>
      <x:c r="I21" s="121"/>
      <x:c r="J21" s="121"/>
    </x:row>
    <x:row r="22" ht="26" customHeight="1">
      <x:c r="A22" s="127" t="str">
        <x:v>EMPLOIS / DÉPENSES 2026</x:v>
      </x:c>
      <x:c r="B22" s="127"/>
      <x:c r="C22" s="127"/>
      <x:c r="D22" s="127"/>
      <x:c r="E22" s="127"/>
      <x:c r="F22" s="63"/>
      <x:c r="G22" s="121"/>
      <x:c r="H22" s="121"/>
      <x:c r="I22" s="121"/>
      <x:c r="J22" s="121"/>
    </x:row>
    <x:row r="23" ht="26" customHeight="1">
      <x:c r="A23" s="91" t="str">
        <x:v>Nature des dépenses</x:v>
      </x:c>
      <x:c r="B23" s="91" t="str">
        <x:v>Réalisé janvier-juin (€)</x:v>
      </x:c>
      <x:c r="C23" s="91" t="str">
        <x:v>Prévision juillet-décembre (€)</x:v>
      </x:c>
      <x:c r="D23" s="91" t="str">
        <x:v>Total 2026 (€)</x:v>
      </x:c>
      <x:c r="E23" s="91" t="str">
        <x:v>% des dépenses</x:v>
      </x:c>
      <x:c r="F23" s="63"/>
      <x:c r="G23" s="121"/>
      <x:c r="H23" s="121"/>
      <x:c r="I23" s="121"/>
      <x:c r="J23" s="121"/>
    </x:row>
    <x:row r="24" ht="26" customHeight="1">
      <x:c r="A24" s="63" t="str">
        <x:v>Salaires nets</x:v>
      </x:c>
      <x:c r="B24" s="122" t="n">
        <x:f>SUM('Plan de trésorerie'!B21:G21)</x:f>
        <x:v>40748.94</x:v>
      </x:c>
      <x:c r="C24" s="122" t="n">
        <x:f>SUM('Plan de trésorerie'!H21:M21)</x:f>
        <x:v>40748.939999999995</x:v>
      </x:c>
      <x:c r="D24" s="122" t="n">
        <x:f>B24+C24</x:f>
        <x:v>81497.88</x:v>
      </x:c>
      <x:c r="E24" s="123" t="n">
        <x:f>IF($D$41=0,0,D24/$D$41)</x:f>
        <x:v>0.3246085964885517</x:v>
      </x:c>
      <x:c r="F24" s="63"/>
      <x:c r="G24" s="121"/>
      <x:c r="H24" s="121"/>
      <x:c r="I24" s="121"/>
      <x:c r="J24" s="121"/>
    </x:row>
    <x:row r="25">
      <x:c r="A25" s="63" t="str">
        <x:v>Cotisations URSSAF</x:v>
      </x:c>
      <x:c r="B25" s="122" t="n">
        <x:f>SUM('Plan de trésorerie'!B22:G22)</x:f>
        <x:v>11476</x:v>
      </x:c>
      <x:c r="C25" s="122" t="n">
        <x:f>SUM('Plan de trésorerie'!H22:M22)</x:f>
        <x:v>11476.02</x:v>
      </x:c>
      <x:c r="D25" s="122" t="n">
        <x:f>B25+C25</x:f>
        <x:v>22952.02</x:v>
      </x:c>
      <x:c r="E25" s="123" t="n">
        <x:f>IF($D$41=0,0,D25/$D$41)</x:f>
        <x:v>0.09141861111942015</x:v>
      </x:c>
      <x:c r="F25" s="63"/>
      <x:c r="G25" s="63"/>
      <x:c r="H25" s="63"/>
      <x:c r="I25" s="63"/>
      <x:c r="J25" s="63"/>
    </x:row>
    <x:row r="26">
      <x:c r="A26" s="63" t="str">
        <x:v>Mutuelle santé</x:v>
      </x:c>
      <x:c r="B26" s="122" t="n">
        <x:f>SUM('Plan de trésorerie'!B23:G23)</x:f>
        <x:v>4014.7799999999997</x:v>
      </x:c>
      <x:c r="C26" s="122" t="n">
        <x:f>SUM('Plan de trésorerie'!H23:M23)</x:f>
        <x:v>4014.78</x:v>
      </x:c>
      <x:c r="D26" s="122" t="n">
        <x:f>B26+C26</x:f>
        <x:v>8029.5599999999995</x:v>
      </x:c>
      <x:c r="E26" s="123" t="n">
        <x:f>IF($D$41=0,0,D26/$D$41)</x:f>
        <x:v>0.03198198777711291</x:v>
      </x:c>
      <x:c r="F26" s="63"/>
      <x:c r="G26" s="63"/>
      <x:c r="H26" s="63"/>
      <x:c r="I26" s="63"/>
      <x:c r="J26" s="63"/>
    </x:row>
    <x:row r="27">
      <x:c r="A27" s="63" t="str">
        <x:v>Prélèvement à la source / impôts</x:v>
      </x:c>
      <x:c r="B27" s="122" t="n">
        <x:f>SUM('Plan de trésorerie'!B24:G24)</x:f>
        <x:v>318</x:v>
      </x:c>
      <x:c r="C27" s="122" t="n">
        <x:f>SUM('Plan de trésorerie'!H24:M24)</x:f>
        <x:v>318</x:v>
      </x:c>
      <x:c r="D27" s="122" t="n">
        <x:f>B27+C27</x:f>
        <x:v>636</x:v>
      </x:c>
      <x:c r="E27" s="123" t="n">
        <x:f>IF($D$41=0,0,D27/$D$41)</x:f>
        <x:v>0.0025332078253657506</x:v>
      </x:c>
      <x:c r="F27" s="63"/>
      <x:c r="G27" s="129" t="str">
        <x:v>Indicateur</x:v>
      </x:c>
      <x:c r="H27" s="129" t="str">
        <x:v>Montant (€)</x:v>
      </x:c>
      <x:c r="I27" s="63"/>
      <x:c r="J27" s="63"/>
    </x:row>
    <x:row r="28">
      <x:c r="A28" s="63" t="str">
        <x:v>Retraite et prévoyance</x:v>
      </x:c>
      <x:c r="B28" s="122" t="n">
        <x:f>SUM('Plan de trésorerie'!B25:G25)</x:f>
        <x:v>2854.5599999999995</x:v>
      </x:c>
      <x:c r="C28" s="122" t="n">
        <x:f>SUM('Plan de trésorerie'!H25:M25)</x:f>
        <x:v>2854.5600000000004</x:v>
      </x:c>
      <x:c r="D28" s="122" t="n">
        <x:f>B28+C28</x:f>
        <x:v>5709.12</x:v>
      </x:c>
      <x:c r="E28" s="123" t="n">
        <x:f>IF($D$41=0,0,D28/$D$41)</x:f>
        <x:v>0.02273960292445301</x:v>
      </x:c>
      <x:c r="F28" s="63"/>
      <x:c r="G28" s="63" t="str">
        <x:v>Recettes 2026</x:v>
      </x:c>
      <x:c r="H28" s="122" t="n">
        <x:f>D19</x:f>
        <x:v>165410.2</x:v>
      </x:c>
      <x:c r="I28" s="63"/>
      <x:c r="J28" s="63"/>
    </x:row>
    <x:row r="29">
      <x:c r="A29" s="63" t="str">
        <x:v>Assurances</x:v>
      </x:c>
      <x:c r="B29" s="122" t="n">
        <x:f>SUM('Plan de trésorerie'!B26:G26)</x:f>
        <x:v>1936.9899999999998</x:v>
      </x:c>
      <x:c r="C29" s="122" t="n">
        <x:f>SUM('Plan de trésorerie'!H26:M26)</x:f>
        <x:v>1936.9799999999998</x:v>
      </x:c>
      <x:c r="D29" s="122" t="n">
        <x:f>B29+C29</x:f>
        <x:v>3873.9699999999993</x:v>
      </x:c>
      <x:c r="E29" s="123" t="n">
        <x:f>IF($D$41=0,0,D29/$D$41)</x:f>
        <x:v>0.015430143269232947</x:v>
      </x:c>
      <x:c r="F29" s="63"/>
      <x:c r="G29" s="63" t="str">
        <x:v>Dépenses 2026</x:v>
      </x:c>
      <x:c r="H29" s="122" t="n">
        <x:f>D41</x:f>
        <x:v>251065.07000000004</x:v>
      </x:c>
      <x:c r="I29" s="63"/>
      <x:c r="J29" s="63"/>
    </x:row>
    <x:row r="30">
      <x:c r="A30" s="63" t="str">
        <x:v>Électricité</x:v>
      </x:c>
      <x:c r="B30" s="122" t="n">
        <x:f>SUM('Plan de trésorerie'!B27:G27)</x:f>
        <x:v>529.75</x:v>
      </x:c>
      <x:c r="C30" s="122" t="n">
        <x:f>SUM('Plan de trésorerie'!H27:M27)</x:f>
        <x:v>529.74</x:v>
      </x:c>
      <x:c r="D30" s="122" t="n">
        <x:f>B30+C30</x:f>
        <x:v>1059.49</x:v>
      </x:c>
      <x:c r="E30" s="123" t="n">
        <x:f>IF($D$41=0,0,D30/$D$41)</x:f>
        <x:v>0.004219981696378551</x:v>
      </x:c>
      <x:c r="F30" s="63"/>
      <x:c r="G30" s="63"/>
      <x:c r="H30" s="63"/>
      <x:c r="I30" s="63"/>
      <x:c r="J30" s="63"/>
    </x:row>
    <x:row r="31">
      <x:c r="A31" s="63" t="str">
        <x:v>Télécommunications</x:v>
      </x:c>
      <x:c r="B31" s="122" t="n">
        <x:f>SUM('Plan de trésorerie'!B28:G28)</x:f>
        <x:v>503.75999999999993</x:v>
      </x:c>
      <x:c r="C31" s="122" t="n">
        <x:f>SUM('Plan de trésorerie'!H28:M28)</x:f>
        <x:v>503.75999999999993</x:v>
      </x:c>
      <x:c r="D31" s="122" t="n">
        <x:f>B31+C31</x:f>
        <x:v>1007.5199999999999</x:v>
      </x:c>
      <x:c r="E31" s="123" t="n">
        <x:f>IF($D$41=0,0,D31/$D$41)</x:f>
        <x:v>0.004012983566371856</x:v>
      </x:c>
      <x:c r="F31" s="63"/>
      <x:c r="G31" s="63"/>
      <x:c r="H31" s="63"/>
      <x:c r="I31" s="63"/>
      <x:c r="J31" s="63"/>
    </x:row>
    <x:row r="32">
      <x:c r="A32" s="63" t="str">
        <x:v>Expertise comptable</x:v>
      </x:c>
      <x:c r="B32" s="122" t="n">
        <x:f>SUM('Plan de trésorerie'!B29:G29)</x:f>
        <x:v>3920.8999999999996</x:v>
      </x:c>
      <x:c r="C32" s="122" t="n">
        <x:f>SUM('Plan de trésorerie'!H29:M29)</x:f>
        <x:v>3920.88</x:v>
      </x:c>
      <x:c r="D32" s="122" t="n">
        <x:f>B32+C32</x:f>
        <x:v>7841.78</x:v>
      </x:c>
      <x:c r="E32" s="123" t="n">
        <x:f>IF($D$41=0,0,D32/$D$41)</x:f>
        <x:v>0.031234054183642505</x:v>
      </x:c>
      <x:c r="F32" s="63"/>
      <x:c r="G32" s="63"/>
      <x:c r="H32" s="63"/>
      <x:c r="I32" s="63"/>
      <x:c r="J32" s="63"/>
    </x:row>
    <x:row r="33">
      <x:c r="A33" s="63" t="str">
        <x:v>Prestations informatiques / Duthoo</x:v>
      </x:c>
      <x:c r="B33" s="122" t="n">
        <x:f>SUM('Plan de trésorerie'!B30:G30)</x:f>
        <x:v>21600</x:v>
      </x:c>
      <x:c r="C33" s="122" t="n">
        <x:f>SUM('Plan de trésorerie'!H30:M30)</x:f>
        <x:v>21600</x:v>
      </x:c>
      <x:c r="D33" s="122" t="n">
        <x:f>B33+C33</x:f>
        <x:v>43200</x:v>
      </x:c>
      <x:c r="E33" s="123" t="n">
        <x:f>IF($D$41=0,0,D33/$D$41)</x:f>
        <x:v>0.17206694662861702</x:v>
      </x:c>
      <x:c r="F33" s="63"/>
      <x:c r="G33" s="63"/>
      <x:c r="H33" s="63"/>
      <x:c r="I33" s="63"/>
      <x:c r="J33" s="63"/>
    </x:row>
    <x:row r="34">
      <x:c r="A34" s="63" t="str">
        <x:v>Médecine du travail / frais de personnel</x:v>
      </x:c>
      <x:c r="B34" s="122" t="n">
        <x:f>SUM('Plan de trésorerie'!B31:G31)</x:f>
        <x:v>898.8000000000001</x:v>
      </x:c>
      <x:c r="C34" s="122" t="n">
        <x:f>SUM('Plan de trésorerie'!H31:M31)</x:f>
        <x:v>898.8</x:v>
      </x:c>
      <x:c r="D34" s="122" t="n">
        <x:f>B34+C34</x:f>
        <x:v>1797.6</x:v>
      </x:c>
      <x:c r="E34" s="123" t="n">
        <x:f>IF($D$41=0,0,D34/$D$41)</x:f>
        <x:v>0.007159896834713008</x:v>
      </x:c>
      <x:c r="F34" s="63"/>
      <x:c r="G34" s="63"/>
      <x:c r="H34" s="63"/>
      <x:c r="I34" s="63"/>
      <x:c r="J34" s="63"/>
    </x:row>
    <x:row r="35">
      <x:c r="A35" s="63" t="str">
        <x:v>Travaux et investissements</x:v>
      </x:c>
      <x:c r="B35" s="122" t="n">
        <x:f>SUM('Plan de trésorerie'!B32:G32)</x:f>
        <x:v>8000</x:v>
      </x:c>
      <x:c r="C35" s="122" t="n">
        <x:f>SUM('Plan de trésorerie'!H32:M32)</x:f>
        <x:v>7999.98</x:v>
      </x:c>
      <x:c r="D35" s="122" t="n">
        <x:f>B35+C35</x:f>
        <x:v>15999.98</x:v>
      </x:c>
      <x:c r="E35" s="123" t="n">
        <x:f>IF($D$41=0,0,D35/$D$41)</x:f>
        <x:v>0.06372841909071619</x:v>
      </x:c>
      <x:c r="F35" s="63"/>
      <x:c r="G35" s="63"/>
      <x:c r="H35" s="63"/>
      <x:c r="I35" s="63"/>
      <x:c r="J35" s="63"/>
    </x:row>
    <x:row r="36">
      <x:c r="A36" s="63" t="str">
        <x:v>Autres prestataires et dépenses d'actions</x:v>
      </x:c>
      <x:c r="B36" s="122" t="n">
        <x:f>SUM('Plan de trésorerie'!B33:G33)</x:f>
        <x:v>23327.020000000004</x:v>
      </x:c>
      <x:c r="C36" s="122" t="n">
        <x:f>SUM('Plan de trésorerie'!H33:M33)</x:f>
        <x:v>23327.04</x:v>
      </x:c>
      <x:c r="D36" s="122" t="n">
        <x:f>B36+C36</x:f>
        <x:v>46654.060000000005</x:v>
      </x:c>
      <x:c r="E36" s="123" t="n">
        <x:f>IF($D$41=0,0,D36/$D$41)</x:f>
        <x:v>0.1858245752784328</x:v>
      </x:c>
      <x:c r="F36" s="63"/>
      <x:c r="G36" s="63"/>
      <x:c r="H36" s="63"/>
      <x:c r="I36" s="63"/>
      <x:c r="J36" s="63"/>
    </x:row>
    <x:row r="37">
      <x:c r="A37" s="63" t="str">
        <x:v>Déplacements, hébergement et notes de frais</x:v>
      </x:c>
      <x:c r="B37" s="122" t="n">
        <x:f>SUM('Plan de trésorerie'!B34:G34)</x:f>
        <x:v>1249.08</x:v>
      </x:c>
      <x:c r="C37" s="122" t="n">
        <x:f>SUM('Plan de trésorerie'!H34:M34)</x:f>
        <x:v>1249.0800000000002</x:v>
      </x:c>
      <x:c r="D37" s="122" t="n">
        <x:f>B37+C37</x:f>
        <x:v>2498.16</x:v>
      </x:c>
      <x:c r="E37" s="123" t="n">
        <x:f>IF($D$41=0,0,D37/$D$41)</x:f>
        <x:v>0.009950249152540414</x:v>
      </x:c>
      <x:c r="F37" s="63"/>
      <x:c r="G37" s="63"/>
      <x:c r="H37" s="63"/>
      <x:c r="I37" s="63"/>
      <x:c r="J37" s="63"/>
    </x:row>
    <x:row r="38">
      <x:c r="A38" s="63" t="str">
        <x:v>Communication, logiciels et abonnements</x:v>
      </x:c>
      <x:c r="B38" s="122" t="n">
        <x:f>SUM('Plan de trésorerie'!B35:G35)</x:f>
        <x:v>2022.94</x:v>
      </x:c>
      <x:c r="C38" s="122" t="n">
        <x:f>SUM('Plan de trésorerie'!H35:M35)</x:f>
        <x:v>2022.9600000000003</x:v>
      </x:c>
      <x:c r="D38" s="122" t="n">
        <x:f>B38+C38</x:f>
        <x:v>4045.9000000000005</x:v>
      </x:c>
      <x:c r="E38" s="123" t="n">
        <x:f>IF($D$41=0,0,D38/$D$41)</x:f>
        <x:v>0.016114945818627817</x:v>
      </x:c>
      <x:c r="F38" s="63"/>
      <x:c r="G38" s="63"/>
      <x:c r="H38" s="63"/>
      <x:c r="I38" s="63"/>
      <x:c r="J38" s="63"/>
    </x:row>
    <x:row r="39">
      <x:c r="A39" s="63" t="str">
        <x:v>Achats, fournitures, restauration et événementiel</x:v>
      </x:c>
      <x:c r="B39" s="122" t="n">
        <x:f>SUM('Plan de trésorerie'!B36:G36)</x:f>
        <x:v>2086.24</x:v>
      </x:c>
      <x:c r="C39" s="122" t="n">
        <x:f>SUM('Plan de trésorerie'!H36:M36)</x:f>
        <x:v>2086.2599999999998</x:v>
      </x:c>
      <x:c r="D39" s="122" t="n">
        <x:f>B39+C39</x:f>
        <x:v>4172.5</x:v>
      </x:c>
      <x:c r="E39" s="123" t="n">
        <x:f>IF($D$41=0,0,D39/$D$41)</x:f>
        <x:v>0.01661919756499779</x:v>
      </x:c>
      <x:c r="F39" s="63"/>
      <x:c r="G39" s="63"/>
      <x:c r="H39" s="63"/>
      <x:c r="I39" s="63"/>
      <x:c r="J39" s="63"/>
    </x:row>
    <x:row r="40">
      <x:c r="A40" s="63" t="str">
        <x:v>Frais bancaires et divers</x:v>
      </x:c>
      <x:c r="B40" s="122" t="n">
        <x:f>SUM('Plan de trésorerie'!B37:G37)</x:f>
        <x:v>44.77</x:v>
      </x:c>
      <x:c r="C40" s="122" t="n">
        <x:f>SUM('Plan de trésorerie'!H37:M37)</x:f>
        <x:v>44.76</x:v>
      </x:c>
      <x:c r="D40" s="122" t="n">
        <x:f>B40+C40</x:f>
        <x:v>89.53</x:v>
      </x:c>
      <x:c r="E40" s="123" t="n">
        <x:f>IF($D$41=0,0,D40/$D$41)</x:f>
        <x:v>0.0003566007808254648</x:v>
      </x:c>
      <x:c r="F40" s="63"/>
      <x:c r="G40" s="63"/>
      <x:c r="H40" s="63"/>
      <x:c r="I40" s="63"/>
      <x:c r="J40" s="63"/>
    </x:row>
    <x:row r="41">
      <x:c r="A41" s="124" t="str">
        <x:v>TOTAL EMPLOIS / DÉPENSES</x:v>
      </x:c>
      <x:c r="B41" s="125" t="n">
        <x:f>SUM(B24:B40)</x:f>
        <x:v>125532.53000000001</x:v>
      </x:c>
      <x:c r="C41" s="125" t="n">
        <x:f>SUM(C24:C40)</x:f>
        <x:v>125532.53999999998</x:v>
      </x:c>
      <x:c r="D41" s="125" t="n">
        <x:f>SUM(D24:D40)</x:f>
        <x:v>251065.07000000004</x:v>
      </x:c>
      <x:c r="E41" s="126" t="n">
        <x:f>SUM(E24:E40)</x:f>
        <x:v>0.9999999999999998</x:v>
      </x:c>
      <x:c r="F41" s="63"/>
      <x:c r="G41" s="63"/>
      <x:c r="H41" s="63"/>
      <x:c r="I41" s="63"/>
      <x:c r="J41" s="63"/>
    </x:row>
  </x:sheetData>
  <x:mergeCells>
    <x:mergeCell ref="A1:L1"/>
    <x:mergeCell ref="A2:L2"/>
    <x:mergeCell ref="A4:B4"/>
    <x:mergeCell ref="C4:D4"/>
    <x:mergeCell ref="E4:F4"/>
    <x:mergeCell ref="G4:H4"/>
    <x:mergeCell ref="A5:B5"/>
    <x:mergeCell ref="C5:D5"/>
    <x:mergeCell ref="E5:F5"/>
    <x:mergeCell ref="G5:H5"/>
    <x:mergeCell ref="A8:E8"/>
    <x:mergeCell ref="A22:E22"/>
    <x:mergeCell ref="G8:J8"/>
    <x:mergeCell ref="G20:J20"/>
    <x:mergeCell ref="G21:J24"/>
  </x:mergeCells>
  <x:conditionalFormatting sqref="E5:F5">
    <x:cfRule type="expression" dxfId="7" priority="1">
      <x:formula>E5&lt;0</x:formula>
    </x:cfRule>
  </x:conditionalFormatting>
  <x:conditionalFormatting sqref="G5:H5">
    <x:cfRule type="expression" dxfId="8" priority="2">
      <x:formula>G5&lt;0</x:formula>
    </x:cfRule>
  </x:conditionalFormatting>
  <x:pageMargins left="0.7" right="0.7" top="0.75" bottom="0.75" header="0.3" footer="0.3"/>
  <x:drawing xmlns:r="http://schemas.openxmlformats.org/officeDocument/2006/relationships" r:id="Rcea83ef0a23f4382"/>
</x:worksheet>
</file>